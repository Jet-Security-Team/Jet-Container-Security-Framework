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64011"/>
  <bookViews>
    <workbookView xWindow="0" yWindow="0" windowWidth="19200" windowHeight="9270" tabRatio="893"/>
  </bookViews>
  <sheets>
    <sheet name="Общее описание" sheetId="1" r:id="rId1"/>
    <sheet name="Контроли" sheetId="3" r:id="rId2"/>
    <sheet name="Результаты" sheetId="21" r:id="rId3"/>
    <sheet name="Практики" sheetId="20" r:id="rId4"/>
    <sheet name="Уровни зрелости (другой вид)" sheetId="23" r:id="rId5"/>
    <sheet name="CIS Docker" sheetId="25" r:id="rId6"/>
    <sheet name="CIS Kubernetes" sheetId="26" r:id="rId7"/>
    <sheet name="CIS Linux (Debian)" sheetId="31" r:id="rId8"/>
    <sheet name="CIS Linux (RHEL)" sheetId="34" r:id="rId9"/>
    <sheet name="Приказ 118" sheetId="27" r:id="rId10"/>
  </sheets>
  <definedNames>
    <definedName name="_xlnm._FilterDatabase" localSheetId="3" hidden="1">Практики!$A$1:$Q$172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60" i="20" l="1"/>
  <c r="I61" i="23"/>
  <c r="I62" i="23"/>
  <c r="I63" i="23"/>
  <c r="I64" i="23"/>
  <c r="H61" i="23"/>
  <c r="H62" i="23"/>
  <c r="H63" i="23"/>
  <c r="H64" i="23"/>
  <c r="E60" i="23"/>
  <c r="D60" i="23"/>
  <c r="E47" i="23"/>
  <c r="E48" i="23"/>
  <c r="E49" i="23"/>
  <c r="E50" i="23"/>
  <c r="K47" i="23"/>
  <c r="I47" i="23"/>
  <c r="I48" i="23"/>
  <c r="I49" i="23"/>
  <c r="G47" i="23"/>
  <c r="G48" i="23"/>
  <c r="K33" i="23"/>
  <c r="K34" i="23"/>
  <c r="K35" i="23"/>
  <c r="K36" i="23"/>
  <c r="K37" i="23"/>
  <c r="K38" i="23"/>
  <c r="J37" i="23"/>
  <c r="J38" i="23"/>
  <c r="I33" i="23"/>
  <c r="I34" i="23"/>
  <c r="I35" i="23"/>
  <c r="I36" i="23"/>
  <c r="I37" i="23"/>
  <c r="I38" i="23"/>
  <c r="H38" i="23"/>
  <c r="G33" i="23"/>
  <c r="G34" i="23"/>
  <c r="G35" i="23"/>
  <c r="G36" i="23"/>
  <c r="G37" i="23"/>
  <c r="G38" i="23"/>
  <c r="G39" i="23"/>
  <c r="G40" i="23"/>
  <c r="G41" i="23"/>
  <c r="G42" i="23"/>
  <c r="G43" i="23"/>
  <c r="G44" i="23"/>
  <c r="G45" i="23"/>
  <c r="F33" i="23"/>
  <c r="F34" i="23"/>
  <c r="F35" i="23"/>
  <c r="F36" i="23"/>
  <c r="F37" i="23"/>
  <c r="F38" i="23"/>
  <c r="F39" i="23"/>
  <c r="F40" i="23"/>
  <c r="F41" i="23"/>
  <c r="F42" i="23"/>
  <c r="F43" i="23"/>
  <c r="F44" i="23"/>
  <c r="F45" i="23"/>
  <c r="K20" i="23"/>
  <c r="K21" i="23"/>
  <c r="I20" i="23"/>
  <c r="I21" i="23"/>
  <c r="I22" i="23"/>
  <c r="I23" i="23"/>
  <c r="I24" i="23"/>
  <c r="I25" i="23"/>
  <c r="G20" i="23"/>
  <c r="G21" i="23"/>
  <c r="G22" i="23"/>
  <c r="G23" i="23"/>
  <c r="G24" i="23"/>
  <c r="G25" i="23"/>
  <c r="G26" i="23"/>
  <c r="G27" i="23"/>
  <c r="G28" i="23"/>
  <c r="G29" i="23"/>
  <c r="G30" i="23"/>
  <c r="G31" i="23"/>
  <c r="F20" i="23"/>
  <c r="F21" i="23"/>
  <c r="F22" i="23"/>
  <c r="F23" i="23"/>
  <c r="F24" i="23"/>
  <c r="F25" i="23"/>
  <c r="F26" i="23"/>
  <c r="F27" i="23"/>
  <c r="F28" i="23"/>
  <c r="F29" i="23"/>
  <c r="F30" i="23"/>
  <c r="F31" i="23"/>
  <c r="E38" i="23"/>
  <c r="D38" i="23"/>
  <c r="E85" i="20"/>
  <c r="E92" i="20"/>
  <c r="E33" i="23"/>
  <c r="E34" i="23"/>
  <c r="E35" i="23"/>
  <c r="E36" i="23"/>
  <c r="E37" i="23"/>
  <c r="D33" i="23"/>
  <c r="D34" i="23"/>
  <c r="D35" i="23"/>
  <c r="D36" i="23"/>
  <c r="D37" i="23"/>
  <c r="G18" i="23"/>
  <c r="F18" i="23"/>
  <c r="E73" i="20"/>
  <c r="E23" i="20"/>
  <c r="H35" i="20"/>
  <c r="I35" i="20"/>
  <c r="H25" i="23"/>
  <c r="I79" i="20"/>
  <c r="H79" i="20"/>
  <c r="I171" i="20"/>
  <c r="I170" i="20"/>
  <c r="I169" i="20"/>
  <c r="I168" i="20"/>
  <c r="I167" i="20"/>
  <c r="I166" i="20"/>
  <c r="I165" i="20"/>
  <c r="I164" i="20"/>
  <c r="I163" i="20"/>
  <c r="I162" i="20"/>
  <c r="I161" i="20"/>
  <c r="I160" i="20"/>
  <c r="I157" i="20"/>
  <c r="I156" i="20"/>
  <c r="I155" i="20"/>
  <c r="I154" i="20"/>
  <c r="I153" i="20"/>
  <c r="I152" i="20"/>
  <c r="I151" i="20"/>
  <c r="I150" i="20"/>
  <c r="I149" i="20"/>
  <c r="I148" i="20"/>
  <c r="I147" i="20"/>
  <c r="I146" i="20"/>
  <c r="I145" i="20"/>
  <c r="I144" i="20"/>
  <c r="I143" i="20"/>
  <c r="I142" i="20"/>
  <c r="I141" i="20"/>
  <c r="I140" i="20"/>
  <c r="I137" i="20"/>
  <c r="I136" i="20"/>
  <c r="I135" i="20"/>
  <c r="I134" i="20"/>
  <c r="I133" i="20"/>
  <c r="I132" i="20"/>
  <c r="I131" i="20"/>
  <c r="I130" i="20"/>
  <c r="I129" i="20"/>
  <c r="I128" i="20"/>
  <c r="I127" i="20"/>
  <c r="I126" i="20"/>
  <c r="I125" i="20"/>
  <c r="I124" i="20"/>
  <c r="I121" i="20"/>
  <c r="I120" i="20"/>
  <c r="I119" i="20"/>
  <c r="I118" i="20"/>
  <c r="I117" i="20"/>
  <c r="I116" i="20"/>
  <c r="I115" i="20"/>
  <c r="I114" i="20"/>
  <c r="I113" i="20"/>
  <c r="I112" i="20"/>
  <c r="I111" i="20"/>
  <c r="I110" i="20"/>
  <c r="I109" i="20"/>
  <c r="I108" i="20"/>
  <c r="I107" i="20"/>
  <c r="I106" i="20"/>
  <c r="I104" i="20"/>
  <c r="I103" i="20"/>
  <c r="I102" i="20"/>
  <c r="I101" i="20"/>
  <c r="I100" i="20"/>
  <c r="I99" i="20"/>
  <c r="I98" i="20"/>
  <c r="I97" i="20"/>
  <c r="I96" i="20"/>
  <c r="I95" i="20"/>
  <c r="I94" i="20"/>
  <c r="I91" i="20"/>
  <c r="I93" i="20"/>
  <c r="I92" i="20"/>
  <c r="I105" i="20"/>
  <c r="I90" i="20"/>
  <c r="I89" i="20"/>
  <c r="I88" i="20"/>
  <c r="I87" i="20"/>
  <c r="I86" i="20"/>
  <c r="I85" i="20"/>
  <c r="I82" i="20"/>
  <c r="I81" i="20"/>
  <c r="I80" i="20"/>
  <c r="I78" i="20"/>
  <c r="I77" i="20"/>
  <c r="I76" i="20"/>
  <c r="I75" i="20"/>
  <c r="I74" i="20"/>
  <c r="I73" i="20"/>
  <c r="I72" i="20"/>
  <c r="I71" i="20"/>
  <c r="I70" i="20"/>
  <c r="I69" i="20"/>
  <c r="I68" i="20"/>
  <c r="I67" i="20"/>
  <c r="I66" i="20"/>
  <c r="I65" i="20"/>
  <c r="I64" i="20"/>
  <c r="I63" i="20"/>
  <c r="I62" i="20"/>
  <c r="I61" i="20"/>
  <c r="I60" i="20"/>
  <c r="I59" i="20"/>
  <c r="I58" i="20"/>
  <c r="I57" i="20"/>
  <c r="I56" i="20"/>
  <c r="I55" i="20"/>
  <c r="I54" i="20"/>
  <c r="I53" i="20"/>
  <c r="I52" i="20"/>
  <c r="I51" i="20"/>
  <c r="I50" i="20"/>
  <c r="I49" i="20"/>
  <c r="I46" i="20"/>
  <c r="I45" i="20"/>
  <c r="I44" i="20"/>
  <c r="I43" i="20"/>
  <c r="I42" i="20"/>
  <c r="I41" i="20"/>
  <c r="I40" i="20"/>
  <c r="I39" i="20"/>
  <c r="I38" i="20"/>
  <c r="I37" i="20"/>
  <c r="I36" i="20"/>
  <c r="I34" i="20"/>
  <c r="I33" i="20"/>
  <c r="I32" i="20"/>
  <c r="I31" i="20"/>
  <c r="I30" i="20"/>
  <c r="I29" i="20"/>
  <c r="I28" i="20"/>
  <c r="I27" i="20"/>
  <c r="I26" i="20"/>
  <c r="I25" i="20"/>
  <c r="I24" i="20"/>
  <c r="I23" i="20"/>
  <c r="I22" i="20"/>
  <c r="I21" i="20"/>
  <c r="I20" i="20"/>
  <c r="I19" i="20"/>
  <c r="I18" i="20"/>
  <c r="I17" i="20"/>
  <c r="I16" i="20"/>
  <c r="I13" i="20"/>
  <c r="I12" i="20"/>
  <c r="I11" i="20"/>
  <c r="I10" i="20"/>
  <c r="I9" i="20"/>
  <c r="I8" i="20"/>
  <c r="I7" i="20"/>
  <c r="I6" i="20"/>
  <c r="I5" i="20"/>
  <c r="I4" i="20"/>
  <c r="I3" i="20"/>
  <c r="J35" i="20" l="1"/>
  <c r="J79" i="20"/>
  <c r="H85" i="20"/>
  <c r="H86" i="20"/>
  <c r="H87" i="20"/>
  <c r="J87" i="20" s="1"/>
  <c r="H88" i="20"/>
  <c r="H89" i="20"/>
  <c r="H90" i="20"/>
  <c r="J90" i="20" s="1"/>
  <c r="H105" i="20"/>
  <c r="J105" i="20" s="1"/>
  <c r="H92" i="20"/>
  <c r="H93" i="20"/>
  <c r="H91" i="20"/>
  <c r="H94" i="20"/>
  <c r="J94" i="20" s="1"/>
  <c r="H95" i="20"/>
  <c r="H96" i="20"/>
  <c r="J96" i="20" s="1"/>
  <c r="H97" i="20"/>
  <c r="J97" i="20" s="1"/>
  <c r="H98" i="20"/>
  <c r="H99" i="20"/>
  <c r="J99" i="20" s="1"/>
  <c r="H100" i="20"/>
  <c r="J100" i="20" s="1"/>
  <c r="H101" i="20"/>
  <c r="H102" i="20"/>
  <c r="H103" i="20"/>
  <c r="H104" i="20"/>
  <c r="J104" i="20" s="1"/>
  <c r="H106" i="20"/>
  <c r="J106" i="20" s="1"/>
  <c r="H107" i="20"/>
  <c r="H108" i="20"/>
  <c r="J108" i="20" s="1"/>
  <c r="H109" i="20"/>
  <c r="H110" i="20"/>
  <c r="H111" i="20"/>
  <c r="H112" i="20"/>
  <c r="J112" i="20" s="1"/>
  <c r="H113" i="20"/>
  <c r="J113" i="20" s="1"/>
  <c r="H114" i="20"/>
  <c r="H115" i="20"/>
  <c r="J115" i="20" s="1"/>
  <c r="H116" i="20"/>
  <c r="J116" i="20" s="1"/>
  <c r="H117" i="20"/>
  <c r="J117" i="20" s="1"/>
  <c r="H118" i="20"/>
  <c r="H119" i="20"/>
  <c r="J119" i="20" s="1"/>
  <c r="H120" i="20"/>
  <c r="J120" i="20" s="1"/>
  <c r="H121" i="20"/>
  <c r="H140" i="20"/>
  <c r="H141" i="20"/>
  <c r="J141" i="20" s="1"/>
  <c r="H142" i="20"/>
  <c r="H143" i="20"/>
  <c r="H144" i="20"/>
  <c r="H145" i="20"/>
  <c r="J145" i="20" s="1"/>
  <c r="H146" i="20"/>
  <c r="H147" i="20"/>
  <c r="H148" i="20"/>
  <c r="H149" i="20"/>
  <c r="H150" i="20"/>
  <c r="H151" i="20"/>
  <c r="H152" i="20"/>
  <c r="H153" i="20"/>
  <c r="J153" i="20" s="1"/>
  <c r="H154" i="20"/>
  <c r="H155" i="20"/>
  <c r="H156" i="20"/>
  <c r="H157" i="20"/>
  <c r="J157" i="20" s="1"/>
  <c r="E8" i="21"/>
  <c r="G61" i="23"/>
  <c r="F61" i="23"/>
  <c r="I60" i="23"/>
  <c r="H60" i="23"/>
  <c r="G60" i="23"/>
  <c r="F60" i="23"/>
  <c r="K59" i="23"/>
  <c r="J59" i="23"/>
  <c r="I59" i="23"/>
  <c r="H59" i="23"/>
  <c r="G59" i="23"/>
  <c r="F59" i="23"/>
  <c r="E59" i="23"/>
  <c r="D59" i="23"/>
  <c r="G58" i="23"/>
  <c r="F58" i="23"/>
  <c r="G57" i="23"/>
  <c r="F57" i="23"/>
  <c r="G56" i="23"/>
  <c r="F56" i="23"/>
  <c r="G55" i="23"/>
  <c r="F55" i="23"/>
  <c r="I54" i="23"/>
  <c r="H54" i="23"/>
  <c r="G54" i="23"/>
  <c r="F54" i="23"/>
  <c r="E54" i="23"/>
  <c r="D54" i="23"/>
  <c r="I53" i="23"/>
  <c r="H53" i="23"/>
  <c r="G53" i="23"/>
  <c r="F53" i="23"/>
  <c r="E53" i="23"/>
  <c r="D53" i="23"/>
  <c r="K52" i="23"/>
  <c r="J52" i="23"/>
  <c r="I52" i="23"/>
  <c r="H52" i="23"/>
  <c r="G52" i="23"/>
  <c r="F52" i="23"/>
  <c r="E52" i="23"/>
  <c r="D52" i="23"/>
  <c r="K51" i="23"/>
  <c r="J51" i="23"/>
  <c r="I51" i="23"/>
  <c r="H51" i="23"/>
  <c r="G51" i="23"/>
  <c r="F51" i="23"/>
  <c r="E51" i="23"/>
  <c r="D51" i="23"/>
  <c r="D50" i="23"/>
  <c r="H49" i="23"/>
  <c r="D49" i="23"/>
  <c r="H48" i="23"/>
  <c r="F48" i="23"/>
  <c r="D48" i="23"/>
  <c r="J47" i="23"/>
  <c r="H47" i="23"/>
  <c r="F47" i="23"/>
  <c r="D47" i="23"/>
  <c r="K46" i="23"/>
  <c r="J46" i="23"/>
  <c r="I46" i="23"/>
  <c r="H46" i="23"/>
  <c r="G46" i="23"/>
  <c r="F46" i="23"/>
  <c r="E46" i="23"/>
  <c r="D46" i="23"/>
  <c r="H37" i="23"/>
  <c r="J36" i="23"/>
  <c r="H36" i="23"/>
  <c r="J35" i="23"/>
  <c r="H35" i="23"/>
  <c r="J34" i="23"/>
  <c r="H34" i="23"/>
  <c r="J33" i="23"/>
  <c r="H33" i="23"/>
  <c r="K32" i="23"/>
  <c r="J32" i="23"/>
  <c r="I32" i="23"/>
  <c r="H32" i="23"/>
  <c r="G32" i="23"/>
  <c r="F32" i="23"/>
  <c r="E32" i="23"/>
  <c r="D32" i="23"/>
  <c r="E29" i="23"/>
  <c r="D29" i="23"/>
  <c r="E28" i="23"/>
  <c r="D28" i="23"/>
  <c r="E27" i="23"/>
  <c r="D27" i="23"/>
  <c r="E26" i="23"/>
  <c r="D26" i="23"/>
  <c r="E25" i="23"/>
  <c r="D25" i="23"/>
  <c r="H24" i="23"/>
  <c r="E24" i="23"/>
  <c r="D24" i="23"/>
  <c r="H23" i="23"/>
  <c r="E23" i="23"/>
  <c r="D23" i="23"/>
  <c r="H22" i="23"/>
  <c r="E22" i="23"/>
  <c r="D22" i="23"/>
  <c r="J21" i="23"/>
  <c r="H21" i="23"/>
  <c r="E21" i="23"/>
  <c r="D21" i="23"/>
  <c r="J20" i="23"/>
  <c r="H20" i="23"/>
  <c r="E20" i="23"/>
  <c r="D20" i="23"/>
  <c r="K19" i="23"/>
  <c r="J19" i="23"/>
  <c r="I19" i="23"/>
  <c r="H19" i="23"/>
  <c r="G19" i="23"/>
  <c r="F19" i="23"/>
  <c r="E19" i="23"/>
  <c r="D19" i="23"/>
  <c r="G17" i="23"/>
  <c r="F17" i="23"/>
  <c r="G16" i="23"/>
  <c r="F16" i="23"/>
  <c r="G15" i="23"/>
  <c r="F15" i="23"/>
  <c r="G14" i="23"/>
  <c r="F14" i="23"/>
  <c r="G13" i="23"/>
  <c r="F13" i="23"/>
  <c r="I12" i="23"/>
  <c r="H12" i="23"/>
  <c r="G12" i="23"/>
  <c r="F12" i="23"/>
  <c r="E12" i="23"/>
  <c r="D12" i="23"/>
  <c r="I11" i="23"/>
  <c r="H11" i="23"/>
  <c r="G11" i="23"/>
  <c r="F11" i="23"/>
  <c r="E11" i="23"/>
  <c r="D11" i="23"/>
  <c r="I10" i="23"/>
  <c r="H10" i="23"/>
  <c r="G10" i="23"/>
  <c r="F10" i="23"/>
  <c r="E10" i="23"/>
  <c r="D10" i="23"/>
  <c r="K9" i="23"/>
  <c r="J9" i="23"/>
  <c r="I9" i="23"/>
  <c r="H9" i="23"/>
  <c r="G9" i="23"/>
  <c r="F9" i="23"/>
  <c r="E9" i="23"/>
  <c r="D9" i="23"/>
  <c r="K8" i="23"/>
  <c r="J8" i="23"/>
  <c r="I8" i="23"/>
  <c r="H8" i="23"/>
  <c r="G8" i="23"/>
  <c r="F8" i="23"/>
  <c r="E8" i="23"/>
  <c r="D8" i="23"/>
  <c r="K7" i="23"/>
  <c r="J7" i="23"/>
  <c r="I7" i="23"/>
  <c r="H7" i="23"/>
  <c r="G7" i="23"/>
  <c r="F7" i="23"/>
  <c r="E7" i="23"/>
  <c r="D7" i="23"/>
  <c r="K6" i="23"/>
  <c r="J6" i="23"/>
  <c r="I6" i="23"/>
  <c r="H6" i="23"/>
  <c r="G6" i="23"/>
  <c r="F6" i="23"/>
  <c r="E6" i="23"/>
  <c r="D6" i="23"/>
  <c r="G5" i="23"/>
  <c r="F5" i="23"/>
  <c r="E5" i="23"/>
  <c r="D5" i="23"/>
  <c r="G4" i="23"/>
  <c r="F4" i="23"/>
  <c r="E4" i="23"/>
  <c r="D4" i="23"/>
  <c r="I3" i="23"/>
  <c r="H3" i="23"/>
  <c r="G3" i="23"/>
  <c r="F3" i="23"/>
  <c r="E3" i="23"/>
  <c r="D3" i="23"/>
  <c r="K2" i="23"/>
  <c r="J2" i="23"/>
  <c r="I2" i="23"/>
  <c r="H2" i="23"/>
  <c r="G2" i="23"/>
  <c r="F2" i="23"/>
  <c r="E2" i="23"/>
  <c r="D2" i="23"/>
  <c r="H171" i="20"/>
  <c r="E171" i="20"/>
  <c r="G10" i="21" s="1"/>
  <c r="H170" i="20"/>
  <c r="H169" i="20"/>
  <c r="J169" i="20" s="1"/>
  <c r="H168" i="20"/>
  <c r="H167" i="20"/>
  <c r="H166" i="20"/>
  <c r="H165" i="20"/>
  <c r="E165" i="20"/>
  <c r="F10" i="21" s="1"/>
  <c r="H164" i="20"/>
  <c r="J164" i="20" s="1"/>
  <c r="H163" i="20"/>
  <c r="H162" i="20"/>
  <c r="E162" i="20"/>
  <c r="E10" i="21" s="1"/>
  <c r="H161" i="20"/>
  <c r="H160" i="20"/>
  <c r="J160" i="20" s="1"/>
  <c r="D10" i="21"/>
  <c r="E156" i="20"/>
  <c r="G7" i="21" s="1"/>
  <c r="E152" i="20"/>
  <c r="F7" i="21" s="1"/>
  <c r="E144" i="20"/>
  <c r="E7" i="21" s="1"/>
  <c r="E140" i="20"/>
  <c r="D7" i="21" s="1"/>
  <c r="H137" i="20"/>
  <c r="J137" i="20" s="1"/>
  <c r="H136" i="20"/>
  <c r="J136" i="20" s="1"/>
  <c r="E136" i="20"/>
  <c r="G9" i="21" s="1"/>
  <c r="H135" i="20"/>
  <c r="J135" i="20" s="1"/>
  <c r="H134" i="20"/>
  <c r="J134" i="20" s="1"/>
  <c r="H133" i="20"/>
  <c r="J133" i="20" s="1"/>
  <c r="H132" i="20"/>
  <c r="J132" i="20" s="1"/>
  <c r="E132" i="20"/>
  <c r="F9" i="21" s="1"/>
  <c r="H131" i="20"/>
  <c r="J131" i="20" s="1"/>
  <c r="H130" i="20"/>
  <c r="J130" i="20" s="1"/>
  <c r="H129" i="20"/>
  <c r="J129" i="20" s="1"/>
  <c r="E129" i="20"/>
  <c r="E9" i="21" s="1"/>
  <c r="H128" i="20"/>
  <c r="J128" i="20" s="1"/>
  <c r="H127" i="20"/>
  <c r="J127" i="20" s="1"/>
  <c r="H126" i="20"/>
  <c r="J126" i="20" s="1"/>
  <c r="H125" i="20"/>
  <c r="J125" i="20" s="1"/>
  <c r="H124" i="20"/>
  <c r="J124" i="20" s="1"/>
  <c r="E124" i="20"/>
  <c r="D9" i="21" s="1"/>
  <c r="E115" i="20"/>
  <c r="G8" i="21" s="1"/>
  <c r="E106" i="20"/>
  <c r="F8" i="21" s="1"/>
  <c r="D8" i="21"/>
  <c r="H82" i="20"/>
  <c r="H81" i="20"/>
  <c r="H80" i="20"/>
  <c r="E80" i="20"/>
  <c r="G6" i="21" s="1"/>
  <c r="H78" i="20"/>
  <c r="H77" i="20"/>
  <c r="H76" i="20"/>
  <c r="H75" i="20"/>
  <c r="H74" i="20"/>
  <c r="H73" i="20"/>
  <c r="F6" i="21"/>
  <c r="H72" i="20"/>
  <c r="H71" i="20"/>
  <c r="J71" i="20" s="1"/>
  <c r="H70" i="20"/>
  <c r="J70" i="20" s="1"/>
  <c r="H69" i="20"/>
  <c r="H68" i="20"/>
  <c r="H67" i="20"/>
  <c r="J67" i="20" s="1"/>
  <c r="H66" i="20"/>
  <c r="H65" i="20"/>
  <c r="H64" i="20"/>
  <c r="H63" i="20"/>
  <c r="H62" i="20"/>
  <c r="H61" i="20"/>
  <c r="J61" i="20" s="1"/>
  <c r="H60" i="20"/>
  <c r="J60" i="20" s="1"/>
  <c r="E60" i="20"/>
  <c r="E6" i="21" s="1"/>
  <c r="H59" i="20"/>
  <c r="H58" i="20"/>
  <c r="H57" i="20"/>
  <c r="H56" i="20"/>
  <c r="H55" i="20"/>
  <c r="J55" i="20" s="1"/>
  <c r="H54" i="20"/>
  <c r="J54" i="20" s="1"/>
  <c r="H53" i="20"/>
  <c r="J53" i="20" s="1"/>
  <c r="H52" i="20"/>
  <c r="H51" i="20"/>
  <c r="H50" i="20"/>
  <c r="H49" i="20"/>
  <c r="E49" i="20"/>
  <c r="D6" i="21" s="1"/>
  <c r="H46" i="20"/>
  <c r="H45" i="20"/>
  <c r="H44" i="20"/>
  <c r="H43" i="20"/>
  <c r="E43" i="20"/>
  <c r="G5" i="21" s="1"/>
  <c r="H42" i="20"/>
  <c r="H41" i="20"/>
  <c r="H40" i="20"/>
  <c r="J40" i="20" s="1"/>
  <c r="H39" i="20"/>
  <c r="H38" i="20"/>
  <c r="H37" i="20"/>
  <c r="J37" i="20" s="1"/>
  <c r="H36" i="20"/>
  <c r="E36" i="20"/>
  <c r="F5" i="21" s="1"/>
  <c r="H34" i="20"/>
  <c r="H33" i="20"/>
  <c r="H32" i="20"/>
  <c r="H31" i="20"/>
  <c r="H30" i="20"/>
  <c r="H29" i="20"/>
  <c r="H28" i="20"/>
  <c r="H27" i="20"/>
  <c r="J27" i="20" s="1"/>
  <c r="H26" i="20"/>
  <c r="H25" i="20"/>
  <c r="J25" i="20" s="1"/>
  <c r="H24" i="20"/>
  <c r="J24" i="20" s="1"/>
  <c r="H23" i="20"/>
  <c r="E5" i="21"/>
  <c r="H22" i="20"/>
  <c r="H21" i="20"/>
  <c r="H20" i="20"/>
  <c r="H19" i="20"/>
  <c r="J19" i="20" s="1"/>
  <c r="H18" i="20"/>
  <c r="H17" i="20"/>
  <c r="H16" i="20"/>
  <c r="J16" i="20" s="1"/>
  <c r="E16" i="20"/>
  <c r="D5" i="21" s="1"/>
  <c r="H13" i="20"/>
  <c r="J13" i="20" s="1"/>
  <c r="E13" i="20"/>
  <c r="G4" i="21" s="1"/>
  <c r="H12" i="20"/>
  <c r="H11" i="20"/>
  <c r="E11" i="20"/>
  <c r="F4" i="21" s="1"/>
  <c r="H10" i="20"/>
  <c r="H9" i="20"/>
  <c r="H8" i="20"/>
  <c r="H7" i="20"/>
  <c r="E7" i="20"/>
  <c r="E4" i="21" s="1"/>
  <c r="H6" i="20"/>
  <c r="H5" i="20"/>
  <c r="H4" i="20"/>
  <c r="H3" i="20"/>
  <c r="E3" i="20"/>
  <c r="D4" i="21" s="1"/>
  <c r="J109" i="20"/>
  <c r="J93" i="20"/>
  <c r="J101" i="20"/>
  <c r="H122" i="20" l="1"/>
  <c r="J85" i="20"/>
  <c r="J12" i="20"/>
  <c r="J8" i="20"/>
  <c r="J7" i="20"/>
  <c r="J3" i="20"/>
  <c r="J46" i="20"/>
  <c r="J26" i="20"/>
  <c r="J18" i="20"/>
  <c r="J69" i="20"/>
  <c r="J51" i="20"/>
  <c r="J58" i="20"/>
  <c r="J78" i="20"/>
  <c r="J75" i="20"/>
  <c r="J49" i="20"/>
  <c r="J63" i="20"/>
  <c r="J68" i="20"/>
  <c r="J95" i="20"/>
  <c r="J89" i="20"/>
  <c r="J107" i="20"/>
  <c r="J111" i="20"/>
  <c r="H158" i="20"/>
  <c r="J167" i="20"/>
  <c r="J170" i="20"/>
  <c r="J168" i="20"/>
  <c r="J162" i="20"/>
  <c r="J165" i="20"/>
  <c r="J166" i="20"/>
  <c r="J118" i="20"/>
  <c r="J22" i="20"/>
  <c r="J44" i="20"/>
  <c r="J76" i="20"/>
  <c r="J80" i="20"/>
  <c r="J143" i="20"/>
  <c r="J121" i="20"/>
  <c r="J98" i="20"/>
  <c r="J62" i="20"/>
  <c r="J73" i="20"/>
  <c r="J72" i="20"/>
  <c r="J5" i="20"/>
  <c r="J11" i="20"/>
  <c r="J45" i="20"/>
  <c r="J66" i="20"/>
  <c r="J23" i="20"/>
  <c r="J30" i="20"/>
  <c r="J34" i="20"/>
  <c r="J38" i="20"/>
  <c r="J42" i="20"/>
  <c r="J59" i="20"/>
  <c r="J161" i="20"/>
  <c r="J154" i="20"/>
  <c r="J150" i="20"/>
  <c r="J142" i="20"/>
  <c r="J103" i="20"/>
  <c r="J91" i="20"/>
  <c r="J10" i="20"/>
  <c r="J31" i="20"/>
  <c r="J64" i="20"/>
  <c r="J20" i="20"/>
  <c r="J17" i="20"/>
  <c r="J39" i="20"/>
  <c r="H172" i="20"/>
  <c r="J155" i="20"/>
  <c r="J151" i="20"/>
  <c r="J147" i="20"/>
  <c r="J114" i="20"/>
  <c r="J28" i="20"/>
  <c r="J32" i="20"/>
  <c r="J36" i="20"/>
  <c r="H83" i="20"/>
  <c r="J57" i="20"/>
  <c r="J146" i="20"/>
  <c r="J110" i="20"/>
  <c r="J92" i="20"/>
  <c r="J88" i="20"/>
  <c r="J4" i="20"/>
  <c r="J21" i="20"/>
  <c r="J52" i="20"/>
  <c r="J82" i="20"/>
  <c r="H138" i="20"/>
  <c r="J29" i="20"/>
  <c r="J33" i="20"/>
  <c r="J41" i="20"/>
  <c r="J50" i="20"/>
  <c r="J65" i="20"/>
  <c r="J171" i="20"/>
  <c r="H14" i="20"/>
  <c r="J43" i="20"/>
  <c r="J56" i="20"/>
  <c r="J74" i="20"/>
  <c r="J6" i="20"/>
  <c r="J9" i="20"/>
  <c r="H47" i="20"/>
  <c r="J149" i="20"/>
  <c r="J77" i="20"/>
  <c r="J81" i="20"/>
  <c r="J163" i="20"/>
  <c r="J156" i="20"/>
  <c r="J152" i="20"/>
  <c r="J148" i="20"/>
  <c r="J144" i="20"/>
  <c r="J140" i="20"/>
  <c r="J102" i="20"/>
  <c r="J86" i="20"/>
  <c r="J138" i="20" l="1"/>
  <c r="C19" i="21" s="1"/>
  <c r="J172" i="20"/>
  <c r="C20" i="21" s="1"/>
  <c r="J122" i="20"/>
  <c r="C8" i="21" s="1"/>
  <c r="J158" i="20"/>
  <c r="C17" i="21" s="1"/>
  <c r="J47" i="20"/>
  <c r="C5" i="21" s="1"/>
  <c r="J83" i="20"/>
  <c r="C16" i="21" s="1"/>
  <c r="J14" i="20"/>
  <c r="C14" i="21" s="1"/>
  <c r="C10" i="21" l="1"/>
  <c r="C9" i="21"/>
  <c r="C15" i="21"/>
  <c r="C7" i="21"/>
  <c r="C18" i="21"/>
  <c r="C6" i="21"/>
  <c r="C4" i="21"/>
  <c r="D14" i="21" l="1"/>
</calcChain>
</file>

<file path=xl/sharedStrings.xml><?xml version="1.0" encoding="utf-8"?>
<sst xmlns="http://schemas.openxmlformats.org/spreadsheetml/2006/main" count="5613" uniqueCount="2553">
  <si>
    <t>Описание</t>
  </si>
  <si>
    <t>Статус</t>
  </si>
  <si>
    <t>Комментарий</t>
  </si>
  <si>
    <t>ЧТО НУЖНО, ЧТОБЫ ЗАПУСТИТЬ ПРИЛОЖЕНИЕ В КОНТЕЙНЕРЕ?</t>
  </si>
  <si>
    <t>2.1</t>
  </si>
  <si>
    <t>2.2</t>
  </si>
  <si>
    <t>2.3</t>
  </si>
  <si>
    <t>2.4</t>
  </si>
  <si>
    <t>2.5</t>
  </si>
  <si>
    <t>2.6</t>
  </si>
  <si>
    <t>2.7</t>
  </si>
  <si>
    <t>2.8</t>
  </si>
  <si>
    <t>2.9</t>
  </si>
  <si>
    <t>2.10</t>
  </si>
  <si>
    <t>2.11</t>
  </si>
  <si>
    <t>2.12</t>
  </si>
  <si>
    <t>2.13</t>
  </si>
  <si>
    <t>2.14</t>
  </si>
  <si>
    <t>3.1</t>
  </si>
  <si>
    <t>3.2</t>
  </si>
  <si>
    <t>3.3</t>
  </si>
  <si>
    <t>3.4</t>
  </si>
  <si>
    <t>3.5</t>
  </si>
  <si>
    <t>3.6</t>
  </si>
  <si>
    <t>3.7</t>
  </si>
  <si>
    <t>4.1</t>
  </si>
  <si>
    <t>5.1</t>
  </si>
  <si>
    <t>5.2</t>
  </si>
  <si>
    <t>5.3</t>
  </si>
  <si>
    <t>5.4</t>
  </si>
  <si>
    <t>5.5</t>
  </si>
  <si>
    <t>5.6</t>
  </si>
  <si>
    <t>5.7</t>
  </si>
  <si>
    <t>Домен</t>
  </si>
  <si>
    <t>Выполняется контроль сетевого трафика на уровне межсетевых экранов (L3/L4) в PROD сегменте (доступ к узлам)</t>
  </si>
  <si>
    <t>ID практики</t>
  </si>
  <si>
    <t>Требование</t>
  </si>
  <si>
    <t>Уровень зрелости</t>
  </si>
  <si>
    <t>Соответствие уровню зрелости</t>
  </si>
  <si>
    <t>Классификация</t>
  </si>
  <si>
    <t>Уровень критичности</t>
  </si>
  <si>
    <t>Вес критерия</t>
  </si>
  <si>
    <t>Выполняется</t>
  </si>
  <si>
    <t>Итоговый балл</t>
  </si>
  <si>
    <t>CIS Kubernetes</t>
  </si>
  <si>
    <t>CIS Docker</t>
  </si>
  <si>
    <t>118 Приказ</t>
  </si>
  <si>
    <t>УБИ ФСТЭК</t>
  </si>
  <si>
    <t>Примечание</t>
  </si>
  <si>
    <t>Общие практики безопасности (Generic)</t>
  </si>
  <si>
    <t>Gen-1-1</t>
  </si>
  <si>
    <t>Создаются резервные копии критичных серверов, процесс резервирования является системным.</t>
  </si>
  <si>
    <t>Не выполняется</t>
  </si>
  <si>
    <t>Резервное копирование</t>
  </si>
  <si>
    <t>Высокий</t>
  </si>
  <si>
    <t>-</t>
  </si>
  <si>
    <t>Gen-1-2</t>
  </si>
  <si>
    <t>Должна быть обеспечена отказоустойчивость серверной инфраструктуры в рамках 1 сайта</t>
  </si>
  <si>
    <t>Отказоустойчивость</t>
  </si>
  <si>
    <t>Gen-1-3</t>
  </si>
  <si>
    <t>Сетевая безопасность</t>
  </si>
  <si>
    <t>Gen-1-4</t>
  </si>
  <si>
    <t>PROD инфраструктура находится в выделенном сетевом сегменте</t>
  </si>
  <si>
    <t>Gen-2-1</t>
  </si>
  <si>
    <t>Удаленный доступ подрядчиков регламентирован, права минимально необходимы и контролируется.</t>
  </si>
  <si>
    <t>Ролевая модель и разделение зон ответственности</t>
  </si>
  <si>
    <t>Gen-2-2</t>
  </si>
  <si>
    <t>Зоны распределения ответственности администраторов разграничены и задокументированы для оркестратора и ОС</t>
  </si>
  <si>
    <t>Средний</t>
  </si>
  <si>
    <t>Gen-2-3</t>
  </si>
  <si>
    <t>Процесс резервного копирования регламентирован</t>
  </si>
  <si>
    <t>Gen-2-4</t>
  </si>
  <si>
    <t>Процесс восстановления доступности регламентирован</t>
  </si>
  <si>
    <t>Gen-3-1</t>
  </si>
  <si>
    <t>Тестовая среда располагается в отдельном сетевом сегменте. Доступ к среде ограничен</t>
  </si>
  <si>
    <t>Gen-3-2</t>
  </si>
  <si>
    <t>Проводятся учения по отработке плана аварийного восстановления с фактическим прохождением этапов восстановления на условно аварийном сервере</t>
  </si>
  <si>
    <t>Gen-4-1</t>
  </si>
  <si>
    <t xml:space="preserve"> Обеспечена отказоустойчивость серверной инфраструктуры в рамках нескольких сайтов</t>
  </si>
  <si>
    <t>Максимальный балл</t>
  </si>
  <si>
    <t>Итоговый общий балл</t>
  </si>
  <si>
    <t>Безопасность УЗЛОВ сред контейнеризации (nodes)</t>
  </si>
  <si>
    <t>Nodes-1-1</t>
  </si>
  <si>
    <t>УЗ администраторов ОС серверов должны содержать уникальный идентификатор, позволяющий связать администратора с их действиями в ОС</t>
  </si>
  <si>
    <t>Учетные записи</t>
  </si>
  <si>
    <t>1.2.1</t>
  </si>
  <si>
    <t>Nodes-1-2</t>
  </si>
  <si>
    <t>УЗ root не должна использоваться для администрирования ОС</t>
  </si>
  <si>
    <t>Nodes-1-3</t>
  </si>
  <si>
    <t>Используются версии ОС, поддерживаемые производителем. Для неподдерживаемых версий ОС имеется расширенная поддержка</t>
  </si>
  <si>
    <t>Версии ПО</t>
  </si>
  <si>
    <t>Nodes-1-4</t>
  </si>
  <si>
    <t>Осуществляется сбор логов о состоянии серверов (мониторинг ИТ) - собираются данные о состоянии сервера.</t>
  </si>
  <si>
    <t>Мониторинг</t>
  </si>
  <si>
    <t>Nodes-1-5</t>
  </si>
  <si>
    <t>Используется антивирусное ПО с постоянно обновляемыми базами.</t>
  </si>
  <si>
    <t>СЗИ</t>
  </si>
  <si>
    <t>Nodes-1-6</t>
  </si>
  <si>
    <t>Реализованы механизмы синхронизации времени в ОС с целью возможности подтверждения времени записи событий</t>
  </si>
  <si>
    <t>Харденинг</t>
  </si>
  <si>
    <t>Nodes-1-7</t>
  </si>
  <si>
    <t>Выполнены настройки сложности пароля:
Возможность использования пустых паролей - нет 
длина пароля: 14;
сложность: да;
срок действия: не более года;
блокирование известных паролей: 20 и более из ТОП, 5 ранее использованных;</t>
  </si>
  <si>
    <t>Nodes-2-1</t>
  </si>
  <si>
    <t>Привилегированные права в ОС имеют только УЗ, которым такой доступ необходим, данные УЗ актуальны</t>
  </si>
  <si>
    <t>Nodes-2-2</t>
  </si>
  <si>
    <t>Установлены актуальные обновления безопасности ОС, процесс обновления является системным</t>
  </si>
  <si>
    <t>Nodes-2-3</t>
  </si>
  <si>
    <t>Проводятся периодические сканирования ОС, направленные на выявление уязвимостей</t>
  </si>
  <si>
    <t>Управление уязвимостями</t>
  </si>
  <si>
    <t>Nodes-2-4</t>
  </si>
  <si>
    <t>Для установки ОС используется «золотой» образ</t>
  </si>
  <si>
    <t>Золотой образ</t>
  </si>
  <si>
    <t>Nodes-2-5</t>
  </si>
  <si>
    <t>Обновления ОС для серверов, содержащих критичную информацию, устанавливаются только после предварительного успешного тестирования на специально выделенном стенде</t>
  </si>
  <si>
    <t>Nodes-2-6</t>
  </si>
  <si>
    <t>Проводятся регулярные сканирования антивирусом</t>
  </si>
  <si>
    <t>Nodes-2-7</t>
  </si>
  <si>
    <t>Используются базовые настройки безопасности для ОС:
- выполнен харденинг SSH:
 LoginGraceTime = 1 m;
 PermitRootLogin = no;
 MaxAuthTries = 6;
 IgnoreRhosts = yes;
 UsePAM = yes;
 TCPKeepAlive = yes;
 X11Forwarding = no;
 ClientAliveInterval = 600;
 ClientAliveCountMax = 3</t>
  </si>
  <si>
    <t>Nodes-2-8</t>
  </si>
  <si>
    <t xml:space="preserve"> Логин на сервер только через SSH ключ</t>
  </si>
  <si>
    <t>Nodes-2-9</t>
  </si>
  <si>
    <t>Определены и настроены критичные события, которые должны собираться с *nix-серверов (перечень параметров). События передаются и анализируются в SIEM</t>
  </si>
  <si>
    <t>События ИБ</t>
  </si>
  <si>
    <t>13.1</t>
  </si>
  <si>
    <t>Nodes-2-10</t>
  </si>
  <si>
    <t>Определен список возможных инцидентов ИБ в части ОС</t>
  </si>
  <si>
    <t>Nodes-2-11</t>
  </si>
  <si>
    <t>Выполняется ревизия УЗ администраторов ОС. В случае необходимости, УЗ деактивируется или отключается</t>
  </si>
  <si>
    <t>Nodes-2-12</t>
  </si>
  <si>
    <t>Неразрешенное ПО или не требуемое для администрирования на ОС хост-серверов не установлено</t>
  </si>
  <si>
    <t>Nodes-3-1</t>
  </si>
  <si>
    <t>Процесс установки обновлений безопасности ОС регламентирован</t>
  </si>
  <si>
    <t>Nodes-3-2</t>
  </si>
  <si>
    <t>Проводится сканирование «золотого» образа ОС на уязвимости</t>
  </si>
  <si>
    <t>Nodes-3-3</t>
  </si>
  <si>
    <t>Процесс настройки параметров безопасности ОС регламентирован, используются стандарты безопасного конфигурирования c минимальным количеством параметров</t>
  </si>
  <si>
    <t>Nodes-3-4</t>
  </si>
  <si>
    <t>Включен хостовый МЭ и настроен в соответствии с правилом «запрещено все, что не разрешено»</t>
  </si>
  <si>
    <t>Nodes-3-5</t>
  </si>
  <si>
    <t>Определен перечень базовых СЗИ, устанавливаемых на серверы (помимо антивируса)</t>
  </si>
  <si>
    <t>Nodes-3-6</t>
  </si>
  <si>
    <t>Проводятся на регулярной основе внутренние аудиты ИБ конфигурационных настроек ОС</t>
  </si>
  <si>
    <t>Nodes-3-7</t>
  </si>
  <si>
    <t>Небезопасные службы ОС (стандартные службы, например, telnet и нестандартные службы - службы стороннего ПО для удаленного доступа и т.д.) отсутствуют или отключены</t>
  </si>
  <si>
    <t>Nodes-4-1</t>
  </si>
  <si>
    <t>Применяется шифрование диска</t>
  </si>
  <si>
    <t>Низкий</t>
  </si>
  <si>
    <t>Nodes-4-2</t>
  </si>
  <si>
    <t>Должны использоваться специально настроенные АРМ (SAW/PAW – закрытая рабочая станция с высоким уровнем защиты) для администрирования инфраструктуры</t>
  </si>
  <si>
    <t>Nodes-4-3</t>
  </si>
  <si>
    <t>Используются стандарты безопасности, включающие в себя большую часть настроек на основе CIS Benchmark</t>
  </si>
  <si>
    <t>Nodes-4-4</t>
  </si>
  <si>
    <t>При хранении настроек и развертывании ОС используется подход IaC</t>
  </si>
  <si>
    <t>IaC</t>
  </si>
  <si>
    <t>Безопасность оркестратора (Orchestrator)</t>
  </si>
  <si>
    <t>Orch-1-1</t>
  </si>
  <si>
    <t>Для доступа к kube-apiserver используется аутентификация и авторизация</t>
  </si>
  <si>
    <t>Аутентификация и авторизация</t>
  </si>
  <si>
    <t>1.2.1; 1.2.6; 1.2.7; 1.2.8</t>
  </si>
  <si>
    <t>15.1</t>
  </si>
  <si>
    <t>Orch-1-2</t>
  </si>
  <si>
    <t>Для доступа к kube-apiserver не используется базовая аутентификация</t>
  </si>
  <si>
    <t>1.2.2</t>
  </si>
  <si>
    <t>Deprecated с 1.16</t>
  </si>
  <si>
    <t>Orch-1-3</t>
  </si>
  <si>
    <t>УЗ администраторов Kubernetes должны содержать уникальный идентификатор, позволяющий связать администратора с их действиями в среде контейнерной оркестрации</t>
  </si>
  <si>
    <t>3.1.2; 3.1.3</t>
  </si>
  <si>
    <t>Orch-1-4</t>
  </si>
  <si>
    <t>Для доступа к kube-apiserver используется только защищенное TLS соединение</t>
  </si>
  <si>
    <t>1.2.24; 1.2.29</t>
  </si>
  <si>
    <t>Orch-1-5</t>
  </si>
  <si>
    <t>Для коммуникации между узлами кластера (master, worker, infrastructure) используются только шифрованные соединения TLS</t>
  </si>
  <si>
    <t>1.2.4; 1.2.5; 4.2.3</t>
  </si>
  <si>
    <t>7.3</t>
  </si>
  <si>
    <t>Orch-1-6</t>
  </si>
  <si>
    <t>Admission controller AlwaysAdmit не используется</t>
  </si>
  <si>
    <t>1.2.10</t>
  </si>
  <si>
    <t>Deprecated с 1.13</t>
  </si>
  <si>
    <t>Orch-1-7</t>
  </si>
  <si>
    <t>Для доступа kube-apiserver к etcd используется аутентификация через сертификаты</t>
  </si>
  <si>
    <t>1.2.23; 1.2.26</t>
  </si>
  <si>
    <t>Orch-1-8</t>
  </si>
  <si>
    <t>Анонимная аутентификация kubelet отключена</t>
  </si>
  <si>
    <t>4.2.1; 4.2.2</t>
  </si>
  <si>
    <t>Orch-1-9</t>
  </si>
  <si>
    <t>Read-only доступ к kubelet не используется</t>
  </si>
  <si>
    <t>4.2.4</t>
  </si>
  <si>
    <t>Orch-1-10</t>
  </si>
  <si>
    <t>Для доступа к kubelet используется только шифрованный трафик TLS</t>
  </si>
  <si>
    <t>4.2.3; 4.2.9; 4.2.12</t>
  </si>
  <si>
    <t>Orch-1-11</t>
  </si>
  <si>
    <t>Используется webhook авторизация kubelet с использованием сертификата kube-apiserver</t>
  </si>
  <si>
    <t>4.2.2</t>
  </si>
  <si>
    <t>Orch-2-1</t>
  </si>
  <si>
    <t>УЗ администраторов оркестратора подвергаются ревизии. В случае необходимости, УЗ деактивируются или отключаются</t>
  </si>
  <si>
    <t>5.1.1</t>
  </si>
  <si>
    <t>Orch-2-2</t>
  </si>
  <si>
    <t>Установлены актуальные обновления безопасности оркестратора, процесс обновления является системным</t>
  </si>
  <si>
    <t>Orch-2-3</t>
  </si>
  <si>
    <t>УЗ cluster-admin не используется для администрирования кластеров Kubernetes</t>
  </si>
  <si>
    <t>Orch-2-4</t>
  </si>
  <si>
    <t>Admission controller AlwaysPullImages активирован и используется</t>
  </si>
  <si>
    <t>1.2.11</t>
  </si>
  <si>
    <t>Orch-2-5</t>
  </si>
  <si>
    <t>Разрешения на конфигурационные файлы, хранящиеся на узлах master соответствуют лучшим практикам CIS</t>
  </si>
  <si>
    <t>1.1.1; 1.1.2; 1.1.3; 1.1.4; 1.1.5; 1.1.6; 1.1.7; 1.1.8; 1.1.9; 1.1.10; 1.1.11; 1.1.12; 1.1.13; 1.1.14; 1.1.15; 1.1.16; 1.1.17; 1.1.18; 1.1.19; 1.1.20; 1.1.21</t>
  </si>
  <si>
    <t>3.1; 3.2; 3.3; 3.4; 3.5; 3.6; 3.7; 3.8; 3.9; 3.10; 3.11; 3.12; 3.13; 3.14; 3.15; 3.16; 3.17; 3.18; 3.19; 3.20; 3.21; 3.22; 3.23; 3.24</t>
  </si>
  <si>
    <t>Orch-2-6</t>
  </si>
  <si>
    <t>Разрешения на конфигурационные файлы, хранящиеся на узлах worker соответствуют лучшим практикам CIS</t>
  </si>
  <si>
    <t>4.1.1; 4.1.2; 4.1.3; 4.1.4; 4.1.5; 4.1.6; 4.1.7; 4.1.8; 4.1.9; 4.1.10</t>
  </si>
  <si>
    <t>Orch-2-7</t>
  </si>
  <si>
    <t>Используются версии оркестратора, поддерживаемые производителем. Для неподдерживаемых версий ОС имеется расширенная поддержка</t>
  </si>
  <si>
    <t>УБИ.225</t>
  </si>
  <si>
    <t>Orch-2-8</t>
  </si>
  <si>
    <t>Настроены параметры аудита сред оркестрации (k8s audit policy), логи передаются и анализируются в SIEM</t>
  </si>
  <si>
    <t>1.2.16; 1.2.17; 1.2.18; 1.2.19; 3.2.1</t>
  </si>
  <si>
    <t>1.1.3; 1.1.4; 1.1.5; 1.1.6; 1.1.7; 1.1.8; 1.1.9; 1.1.10; 1.1.11; 1.1.12; 1.1.13; 1.1.14; 1.1.15; 1.1.16; 1.1.17; 1.1.18</t>
  </si>
  <si>
    <t>12.3
13.1</t>
  </si>
  <si>
    <t>УБИ.223</t>
  </si>
  <si>
    <t>Orch-2-9</t>
  </si>
  <si>
    <t>Определен список возможных инцидентов ИБ в части оркестратора</t>
  </si>
  <si>
    <t>3.2.2</t>
  </si>
  <si>
    <t>Orch-2-10</t>
  </si>
  <si>
    <t>При администрировании оркестратора используется ролевая модель, при назначении прав используется принцип минимальных привилегий</t>
  </si>
  <si>
    <t>1.2.8; 5.1.1; 5.1.2; 5.1.3; 5.1.4; 5.1.5; 5.1.6; 5.1.7; 5.1.8; 5.1.9; 5.1.10; 5.1.11; 5.1.12; 5.1.13</t>
  </si>
  <si>
    <t>14.2
14.3</t>
  </si>
  <si>
    <t>Orch-2-11</t>
  </si>
  <si>
    <t>Для аутентификации в оркестраторе используется внешний сервис, например Active Directory</t>
  </si>
  <si>
    <t>3.1.1; 3.1.2; 3.1.3</t>
  </si>
  <si>
    <t>Orch-2-12</t>
  </si>
  <si>
    <t>Процесс установки обновлений безопасности оркестратора регламентирован</t>
  </si>
  <si>
    <t>Orch-2-13</t>
  </si>
  <si>
    <t>Используются Policy engine или Admission controller, позволяющие контролировать конфигурацию запускаемых микросервисов</t>
  </si>
  <si>
    <t>Контроль манифестов</t>
  </si>
  <si>
    <t>5.2.1</t>
  </si>
  <si>
    <t>УБИ.223
УБИ.224
УБИ.225</t>
  </si>
  <si>
    <t>Orch-3-1</t>
  </si>
  <si>
    <t>Admission controller NamespaceLifecycle активирован и используется</t>
  </si>
  <si>
    <t>1.2.13</t>
  </si>
  <si>
    <t>Orch-3-2</t>
  </si>
  <si>
    <t>Процесс настройки параметров безопасности среды контейнерной оркестрации регламентирован, используются стандарты безопасного конфигурирования</t>
  </si>
  <si>
    <t>Orch-3-3</t>
  </si>
  <si>
    <t>Используется ротация сертификатов kubelet</t>
  </si>
  <si>
    <t>4.2.10; 4.2.11</t>
  </si>
  <si>
    <t>Orch-3-4</t>
  </si>
  <si>
    <t>База данных etcd шифруется</t>
  </si>
  <si>
    <t>1.2.27; 1.2.28; 2.1; 2.2; 2.3; 2.4; 2.5; 2.6; 2.7; 2.8</t>
  </si>
  <si>
    <t>Orch-3-5</t>
  </si>
  <si>
    <t>Используется мониторинг ИТ состояние сред контейнеризации</t>
  </si>
  <si>
    <t>2.13; 5.27; 6.2</t>
  </si>
  <si>
    <t>Orch-3-6</t>
  </si>
  <si>
    <t>Используются отдельные решения по хранению секретов</t>
  </si>
  <si>
    <t>Защита секретов</t>
  </si>
  <si>
    <t>5.4.2</t>
  </si>
  <si>
    <t>7.4</t>
  </si>
  <si>
    <t>Orch-4-1</t>
  </si>
  <si>
    <t>Используются стандарты безопасности на основе CIS Benchmark</t>
  </si>
  <si>
    <t>All</t>
  </si>
  <si>
    <t>Orch-4-2</t>
  </si>
  <si>
    <t>При хранении настроек и развертывании оркестратора используется подход IaC</t>
  </si>
  <si>
    <t>Orch-4-3</t>
  </si>
  <si>
    <t xml:space="preserve">Для размещения etcd используются выделенные серверы с отдельной БД. Обеспечивается отказоустойчивость </t>
  </si>
  <si>
    <t>Безопасность сред контейнеризации Docker</t>
  </si>
  <si>
    <t>Dock-1-1</t>
  </si>
  <si>
    <t>Установлен уровень логирования docker демона - info</t>
  </si>
  <si>
    <t>Dock-1-2</t>
  </si>
  <si>
    <t>Для размещения контейнеров на дисковой подсистеме используется отдельная партиция</t>
  </si>
  <si>
    <t>1.1.1</t>
  </si>
  <si>
    <t>Dock-1-3</t>
  </si>
  <si>
    <t>Демон Docker имеет необходимые права для внесения изменений в iptables</t>
  </si>
  <si>
    <t>Dock-1-4</t>
  </si>
  <si>
    <t>В продуктивной среде не используются функции Docker, помеченные как экспериментальные</t>
  </si>
  <si>
    <t>2.18</t>
  </si>
  <si>
    <t>Dock-1-5</t>
  </si>
  <si>
    <t>Устаревший драйвер для хранилищ данных aufs не используется в Docker</t>
  </si>
  <si>
    <t>Dock-1-6</t>
  </si>
  <si>
    <t>Определена единая cgroup (control group) по умолчанию для всех контейнеров</t>
  </si>
  <si>
    <t>9.1</t>
  </si>
  <si>
    <t>Dock-1-7</t>
  </si>
  <si>
    <t>Установлена опция --live-restore для демона Docker</t>
  </si>
  <si>
    <t>2.15</t>
  </si>
  <si>
    <t xml:space="preserve">Минимальное необходимое количество узлов обладают ролью Manager. В общем случае - не более 3 (нечетное количество).  </t>
  </si>
  <si>
    <t>7.1</t>
  </si>
  <si>
    <t>Docker SWARM
docker info --format '{{ .Swarm.Managers }}'</t>
  </si>
  <si>
    <t>Dock-2-1</t>
  </si>
  <si>
    <t>Для сред контейнеризации на базе Docker используются средства мониторинг событий ИБ (локальный сервис)</t>
  </si>
  <si>
    <t>1.1.3</t>
  </si>
  <si>
    <t>Dock-2-2</t>
  </si>
  <si>
    <t>Настроен аудит для ключевых файлов, относящихся к демону Docker</t>
  </si>
  <si>
    <t>1.1.4; 1.1.5; 1.1.6; 1.1.7; 1.1.8; 1.1.9; 1.1.10; 1.1.11; 1.1.12; 1.1.13; 1.1.14; 1.1.15; 1.1.16; 1.1.17; 1.1.18</t>
  </si>
  <si>
    <t>12.2</t>
  </si>
  <si>
    <r>
      <rPr>
        <u/>
        <sz val="11"/>
        <color theme="1"/>
        <rFont val="Calibri"/>
        <family val="2"/>
        <scheme val="minor"/>
      </rPr>
      <t>Директории</t>
    </r>
    <r>
      <rPr>
        <sz val="11"/>
        <color theme="1"/>
        <rFont val="Calibri"/>
        <family val="2"/>
        <charset val="204"/>
        <scheme val="minor"/>
      </rPr>
      <t xml:space="preserve">
/run/containerd
/var/lib/docker
/etc/docker
</t>
    </r>
    <r>
      <rPr>
        <u/>
        <sz val="11"/>
        <color theme="1"/>
        <rFont val="Calibri"/>
        <family val="2"/>
        <scheme val="minor"/>
      </rPr>
      <t>Файлы</t>
    </r>
    <r>
      <rPr>
        <sz val="11"/>
        <color theme="1"/>
        <rFont val="Calibri"/>
        <family val="2"/>
        <charset val="204"/>
        <scheme val="minor"/>
      </rPr>
      <t xml:space="preserve">
сontainerd.sock 
docker.sock
/etc/default/docker
/etc/docker/daemon.json
/etc/containerd/config.toml
/etc/sysconfig/docker
/usr/bin/containerd
/usr/bin/containerd-shim
usr/bin/containerd-shim-runc-v1
/usr/bin/containerd-shim-runc-v2
/usr/bin/runc</t>
    </r>
  </si>
  <si>
    <t>Dock-2-3</t>
  </si>
  <si>
    <t>Настроены лимиты (ulimits) для контейнеров по умолчанию</t>
  </si>
  <si>
    <t>11</t>
  </si>
  <si>
    <t>Dock-2-4</t>
  </si>
  <si>
    <t xml:space="preserve">hairpin NAT mode используется для публикации сервисов вместо userland proxy service </t>
  </si>
  <si>
    <t>2.16</t>
  </si>
  <si>
    <t>/etc/docker/daemon.json - --userland-proxy=false</t>
  </si>
  <si>
    <t>Dock-2-5</t>
  </si>
  <si>
    <t>Dock-2-6</t>
  </si>
  <si>
    <t>Dock-2-7</t>
  </si>
  <si>
    <t>Dock-2-8</t>
  </si>
  <si>
    <t>Производится регулярная очистка неиспользуемых образов на хостах</t>
  </si>
  <si>
    <t>6.1</t>
  </si>
  <si>
    <t>Dock-2-9</t>
  </si>
  <si>
    <t>Процесс установки обновлений безопасности Docker регламентирован</t>
  </si>
  <si>
    <t>Dock-2-10</t>
  </si>
  <si>
    <t xml:space="preserve">Используется средство контроля параметров запускаемых контейнеров </t>
  </si>
  <si>
    <t>Dock-2-11</t>
  </si>
  <si>
    <t>Процесс настройки параметров безопасности среды контейнерной оркестрации регламентирован, используются стандарты конфигурирования с базовыми стандартами</t>
  </si>
  <si>
    <t>Dock-2-12</t>
  </si>
  <si>
    <t>7.9</t>
  </si>
  <si>
    <t>Dock-2-13</t>
  </si>
  <si>
    <t>Сервис Docker Swarm доступен только на тех сетевых интерфейсах, на которых это необходимо.</t>
  </si>
  <si>
    <t>7.2</t>
  </si>
  <si>
    <t>Docker SWARM
ss -lp | grep -iE ':2377|:7946'</t>
  </si>
  <si>
    <t>Dock-2-14</t>
  </si>
  <si>
    <t>Настроено шифрование для overlay сетей, используемых для связи между хост-серверами в кластере Docker SWARM</t>
  </si>
  <si>
    <t>Docker SWARM
docker network ls --filter driver=overlay --quiet | xargs docker network inspect --format '{{.Name}} {{ .Options }}'</t>
  </si>
  <si>
    <t>7.7</t>
  </si>
  <si>
    <t>docker info | grep "Expiry Duration" docker info --format 'NodeCertExpiry: {{ .Swarm.Cluster.Spec.CAConfig.NodeCertExpiry }}'</t>
  </si>
  <si>
    <t>Dock-3-1</t>
  </si>
  <si>
    <t>Настроены параметры аудита сред оркестрации, логи передаются и анализируются в SIEM</t>
  </si>
  <si>
    <t>Dock-3-2</t>
  </si>
  <si>
    <t>Доступ к демону Docker имеет ограниченное число пользователей ОС</t>
  </si>
  <si>
    <t>1.1.2</t>
  </si>
  <si>
    <t>getent group docker</t>
  </si>
  <si>
    <t>Dock-3-3</t>
  </si>
  <si>
    <t>Контролируется целостность исполняемых файлов Docker, а также его конфигураций</t>
  </si>
  <si>
    <t>Контроль целостности</t>
  </si>
  <si>
    <t>Dock-3-4</t>
  </si>
  <si>
    <t>Используется мониторинг ИТ состояния сред контейнеризации (не только ОС, но и сама среда контейнеризации)</t>
  </si>
  <si>
    <t>Dock-3-5</t>
  </si>
  <si>
    <t>Для сетевого доступа к Docker Daemon используется TLS-аутентификация по сертификату</t>
  </si>
  <si>
    <t>Выполняется, если сетевой доступ к Docker-daemon не используется</t>
  </si>
  <si>
    <t>Dock-3-6</t>
  </si>
  <si>
    <t>Для доступа к Docker Daemon используется только защищенное TLS соединение</t>
  </si>
  <si>
    <t>Dock-3-7</t>
  </si>
  <si>
    <t>Демон Docker запущен в rootless-режиме</t>
  </si>
  <si>
    <t xml:space="preserve">docker info | grep rootless
</t>
  </si>
  <si>
    <t>Dock-3-8</t>
  </si>
  <si>
    <t>Для хранения секретов приложений используются встроенные механизмы Docker SWARM</t>
  </si>
  <si>
    <t>Docker SWARM
docker secret ls</t>
  </si>
  <si>
    <t>Dock-3-9</t>
  </si>
  <si>
    <t>Для корневых сертификатов используется ротация</t>
  </si>
  <si>
    <t>7.8</t>
  </si>
  <si>
    <t>Docker SWARM
Процессный контроль. Выясняется в процессе интервью</t>
  </si>
  <si>
    <t>Dock-4-1</t>
  </si>
  <si>
    <t>Используются стандарты безопасности на основе CIS Benchmark (более 70% параметров) для оркестратора Docker</t>
  </si>
  <si>
    <t>Dock-4-2</t>
  </si>
  <si>
    <t>Dock-4-3</t>
  </si>
  <si>
    <t>Используются самописные плагины для авторизации команд, поступающих к Docker демону</t>
  </si>
  <si>
    <t>Dock-4-4</t>
  </si>
  <si>
    <t>Трафик между контейнерами разделен (для разграничения доступа между контейнеров используется несколько сетевых мостов - Network Bridge)</t>
  </si>
  <si>
    <t>2.2; 5.10; 5.30</t>
  </si>
  <si>
    <t>Dock-4-5</t>
  </si>
  <si>
    <t>Определены отдельные cgroup (control group) для групп контейнеров</t>
  </si>
  <si>
    <t>2.10; 5.25</t>
  </si>
  <si>
    <t>Dock-4-6</t>
  </si>
  <si>
    <t>В кластере SWARM используется режим auto-lock. Для запуска узлов необходимо ввести ключ разблокировки доступа к ключам шифрования</t>
  </si>
  <si>
    <t>7.5</t>
  </si>
  <si>
    <t>Docker SWARM
docker info --format 'Swarm Autolock: {{ .Swarm.Cluster.Spec.EncryptionConfig.AutoLockManagers }}'</t>
  </si>
  <si>
    <t>Dock-4-7</t>
  </si>
  <si>
    <t>Для ключей разблокировки режима auto-lock используется ротация</t>
  </si>
  <si>
    <t>7.6</t>
  </si>
  <si>
    <t>Безопасность используемых образов (Images)</t>
  </si>
  <si>
    <t>IMG-1-1</t>
  </si>
  <si>
    <t>В собранных образах не должны храниться секреты</t>
  </si>
  <si>
    <t>4.10</t>
  </si>
  <si>
    <t>УБИ.226</t>
  </si>
  <si>
    <t>IMG-1-2</t>
  </si>
  <si>
    <t>Контейнеры запускаются из образов, хранящихся в локальных репозиториях</t>
  </si>
  <si>
    <t>Контроль репозиториев</t>
  </si>
  <si>
    <t>5.5.1</t>
  </si>
  <si>
    <t>4.2</t>
  </si>
  <si>
    <t>УБИ.224
УБИ.226
УБИ.227</t>
  </si>
  <si>
    <t>Полностью выполняется, если настроена политика, контролирующая корректность конфигурации. Если выполняется для всех образов контейнеров, но не настроена контролирующая политика - частично выполняется (0.5 балла)</t>
  </si>
  <si>
    <t>IMG-1-3</t>
  </si>
  <si>
    <t>Выполняется сканирование образов контейнеров. Запуск сканирования происходит в ручном режиме.</t>
  </si>
  <si>
    <t>Сканирование образов контейнеров</t>
  </si>
  <si>
    <t>4.4</t>
  </si>
  <si>
    <t>УБИ.225
УБИ.226
УБИ.227</t>
  </si>
  <si>
    <t>IMG-1-4</t>
  </si>
  <si>
    <t>Осуществляется мультиуровневая сборка для минимизации размера образа и его функционала</t>
  </si>
  <si>
    <t>4.3; 4.7; 4.9; 4.11</t>
  </si>
  <si>
    <t>IMG-1-5</t>
  </si>
  <si>
    <t>Осуществляется сканирование Docker файлов на недостатки конфигурации ИБ</t>
  </si>
  <si>
    <t>Сканирование Docker файлов</t>
  </si>
  <si>
    <t>УБИ.223
УБИ.226</t>
  </si>
  <si>
    <t>IMG-2-1</t>
  </si>
  <si>
    <t>Образы контейнеров не должны содержать уязвимостей, которые возможно проэксплуатировать</t>
  </si>
  <si>
    <t>4.4; 4.11</t>
  </si>
  <si>
    <t>10.1</t>
  </si>
  <si>
    <t>УБИ.225
УБИ.226</t>
  </si>
  <si>
    <t>IMG-2-2</t>
  </si>
  <si>
    <t>Выполняется сканирование образов контейнеров в CI/CD на наличие уязвимостей</t>
  </si>
  <si>
    <t>IMG-2-3</t>
  </si>
  <si>
    <t>При обнаружении дефектов ИБ в образах контейнеров автоматизированно создаются задачи на их устранение в тикет-системе</t>
  </si>
  <si>
    <t>IMG-3-1</t>
  </si>
  <si>
    <t>Для собираемых образов генерируется SBOM</t>
  </si>
  <si>
    <t>SBOM</t>
  </si>
  <si>
    <t>IMG-3-2</t>
  </si>
  <si>
    <t>На образы регулярно устанавливаются обновления (обновляются базовые образы)</t>
  </si>
  <si>
    <t>Обновление ПО</t>
  </si>
  <si>
    <t>4.4; 4.7</t>
  </si>
  <si>
    <t>IMG-3-3</t>
  </si>
  <si>
    <t>Собираемые образы подписываются электронной подписью при сборке, а также осуществляется их проверка</t>
  </si>
  <si>
    <t>4.5; 4.12</t>
  </si>
  <si>
    <t>12.1
13.2</t>
  </si>
  <si>
    <t>УБИ.224
УБИ.227</t>
  </si>
  <si>
    <t>IMG-3-4</t>
  </si>
  <si>
    <t>Выполняется периодическое сканирование образов контейнеров, размещенных во внутренних репозиториях, на наличие уязвимостей</t>
  </si>
  <si>
    <t>10.2
13.2</t>
  </si>
  <si>
    <t>УБИ.227</t>
  </si>
  <si>
    <t>IMG-4-1</t>
  </si>
  <si>
    <t>Должны использоваться образы, содержащие минимальный функционал (distroless)</t>
  </si>
  <si>
    <t>4.3; 4.8</t>
  </si>
  <si>
    <t>IMG-4-2</t>
  </si>
  <si>
    <t>Сборки в CI/CD блокируются при найденных уязвимостях в образах контейнеров по договоренности между ИБ и разработчиками</t>
  </si>
  <si>
    <t>10.2</t>
  </si>
  <si>
    <t>Безопасность манифестов (Manifests)</t>
  </si>
  <si>
    <t>MAN-1-1</t>
  </si>
  <si>
    <t>В манифестах не используются секреты в открытом виде</t>
  </si>
  <si>
    <t>5.1.2; 5.4.1</t>
  </si>
  <si>
    <t>УБИ.223
УБИ.224</t>
  </si>
  <si>
    <t>Полностью выполняется, если используется инструмент контроля. Иначе - частично выполянется (0.5 балла)</t>
  </si>
  <si>
    <t>MAN-1-2</t>
  </si>
  <si>
    <t>В манифестах не используется флаг privileged для контейнеров</t>
  </si>
  <si>
    <t>Привилегии контейнера</t>
  </si>
  <si>
    <t>5.2.2</t>
  </si>
  <si>
    <t>Полностью выполняется, если применимо как для манифестов, так и настроена политика, контролирующая корректность конфигурации манифестов. Если выполняется только для манифестов, но не настроена контролирующая политика - частично выполняется (0.5 балла)</t>
  </si>
  <si>
    <t>MAN-1-3</t>
  </si>
  <si>
    <t>В конфигурациях для контейнеров не используется host network (сеть хоста)</t>
  </si>
  <si>
    <t>5.2.5; 5.2.13</t>
  </si>
  <si>
    <t>5.10</t>
  </si>
  <si>
    <t>9.2</t>
  </si>
  <si>
    <t>опция --net=host для Docker или опция hostNetwork для Docker. Полностью выполняется, если применимо как для манифестов, так и настроена политика, контролирующая корректность конфигурации манифестов. Если выполняется только для манифестов, но не настроена контролирующая политика - частично выполняется (0.5 балла)</t>
  </si>
  <si>
    <t>MAN-1-4</t>
  </si>
  <si>
    <t>В манифестах не используются флаги allowPrivilegeEscalation или capabilities CAP_SYS_ADMIN</t>
  </si>
  <si>
    <t>5.2.6; 5.2.9; 5.2.10</t>
  </si>
  <si>
    <t>5.5; 5.26</t>
  </si>
  <si>
    <t>MAN-2-1</t>
  </si>
  <si>
    <t>В манифестах используются скрипты проверки доступности приложений</t>
  </si>
  <si>
    <t>Проверка доступности</t>
  </si>
  <si>
    <t>4.6; 5.27</t>
  </si>
  <si>
    <t>MAN-2-2</t>
  </si>
  <si>
    <t>В манифестах  не используются тома (volume) типа host path</t>
  </si>
  <si>
    <t>Подключение томов</t>
  </si>
  <si>
    <t>5.2.12</t>
  </si>
  <si>
    <t>5.6; 5.13; 5.20</t>
  </si>
  <si>
    <t>MAN-2-3</t>
  </si>
  <si>
    <t>В манифестах не используются образы контейнеров с тегом latest</t>
  </si>
  <si>
    <t>Образы в манифестах</t>
  </si>
  <si>
    <t>5.28</t>
  </si>
  <si>
    <t>MAN-2-4</t>
  </si>
  <si>
    <t>В манифестах не монтируются чувствительные каталоги и файлы хостовой ОС</t>
  </si>
  <si>
    <t>5.6; 5.24</t>
  </si>
  <si>
    <t>Полностью выполняется, если применимо как для манифестов, так и настроена политика, контролирующая корректность конфигурации манифестов. Если выполняется только для манифестов, но не настроена контролирующая политика - частично выполняется (0.5 балла) Например директории:
/ (root filesystem)
/boot
/dev
/etc
/lib
/proc
/sys
/usr​</t>
  </si>
  <si>
    <t>MAN-2-5</t>
  </si>
  <si>
    <t>В манифестах  не используются пространтсва имен PID, разделенные между хост-сервером и контейнером</t>
  </si>
  <si>
    <t>5.2.3; 5.2.11</t>
  </si>
  <si>
    <t>5.16</t>
  </si>
  <si>
    <t>MAN-2-6</t>
  </si>
  <si>
    <t>В манифестах  не используются пространтсва имен IPC разделенные между хост-сервером и контейнером</t>
  </si>
  <si>
    <t>5.2.4</t>
  </si>
  <si>
    <t>5.17</t>
  </si>
  <si>
    <t>MAN-2-7</t>
  </si>
  <si>
    <t>В манифестах  не используются пространтсва имен разделенные UTS между хост-сервером и контейнером</t>
  </si>
  <si>
    <t>5.21</t>
  </si>
  <si>
    <t>Полностью выполняется, если применимо как для манифестов, так и настроена политика, контролирующая корректность конфигурации манифестов. Если выполняется только для манифестов, но не настроена контролирующая политика - частично выполняется (0.5 балла). Применимо только для Docker</t>
  </si>
  <si>
    <t>MAN-2-8</t>
  </si>
  <si>
    <t>В манифестах  настроены ограничения для контейнеров (limits и requests, ulimits или другая опция)</t>
  </si>
  <si>
    <t>Контроль ресурсов</t>
  </si>
  <si>
    <t>4.2.13</t>
  </si>
  <si>
    <t>5.11; 5.12; 5.19; 5.29</t>
  </si>
  <si>
    <t>MAN-3-1</t>
  </si>
  <si>
    <t>Процесс настройки параметров безопасности манифестов регламентирован, используются базовые стандарты безопасного конфигурирования манифестов.</t>
  </si>
  <si>
    <t>MAN-3-2</t>
  </si>
  <si>
    <t>Осуществляется контроль за выполнением команд внутри контейнера от пользователя root
Настроены политики средства контроля запускаемых сущностей, ограничивающие запуск контейнеров с пользователем root</t>
  </si>
  <si>
    <t>5.2.7</t>
  </si>
  <si>
    <t>4.1; 5.5; 5.26</t>
  </si>
  <si>
    <t>16.2</t>
  </si>
  <si>
    <t>MAN-3-3</t>
  </si>
  <si>
    <t>В конфигурациях deployments/replicasets/pods/daemonsets/statefulsets для контейнеров, используется read only корневая системы (readOnlyRootFilesystem)</t>
  </si>
  <si>
    <t>5.13</t>
  </si>
  <si>
    <t>MAN-3-4</t>
  </si>
  <si>
    <t>Настроены политики средства контроля запускаемых сущностей, требующих в конфигурации указывать необходимые capabilities</t>
  </si>
  <si>
    <t>5.2.8; 5.2.9; 5.2.10</t>
  </si>
  <si>
    <t>MAN-4-1</t>
  </si>
  <si>
    <t>Для групп контейнеров используются отдельные apparmor-профайлы</t>
  </si>
  <si>
    <t>Контроль процессов</t>
  </si>
  <si>
    <t>5.2.9; 5.2.10; 5.6.3</t>
  </si>
  <si>
    <t>MAN-4-2</t>
  </si>
  <si>
    <t>Для групп контейнеров используются отдельные seccomp-профайлы</t>
  </si>
  <si>
    <t>4.2.14; 5.6.2</t>
  </si>
  <si>
    <t>2.17; 5.22</t>
  </si>
  <si>
    <t>Безопасность запущенных контейнеров (Containers)</t>
  </si>
  <si>
    <t>CONT-1-1</t>
  </si>
  <si>
    <t>Используются профили по умолчанию Secomp</t>
  </si>
  <si>
    <t>5.6.2</t>
  </si>
  <si>
    <t>5.22</t>
  </si>
  <si>
    <t>CONT-1-2</t>
  </si>
  <si>
    <t>Ограничиваются вычислительные ресурсы работающего контейнера</t>
  </si>
  <si>
    <t>CONT-1-3</t>
  </si>
  <si>
    <t>В контейнерах не запущен демон sshd</t>
  </si>
  <si>
    <t>CONT-2-1</t>
  </si>
  <si>
    <t>Используются сетевые политики для разграничения доступа между неймспейсами</t>
  </si>
  <si>
    <t>5.3.1; 5.3.2</t>
  </si>
  <si>
    <t>Применимо только для Kubernetes</t>
  </si>
  <si>
    <t>CONT-2-2</t>
  </si>
  <si>
    <t>Настроены и используются L7 сетевые политики контроля трафика  в режиме мониторинга</t>
  </si>
  <si>
    <t>5.3.2</t>
  </si>
  <si>
    <t>CONT-2-3</t>
  </si>
  <si>
    <t>Осуществляется мониторинг запускаемых процессов, сетевых соединений и использования файлов в контейнерах. Используются правила по умолчанию</t>
  </si>
  <si>
    <t>3.2.2; 5.3.2; 5.6.1</t>
  </si>
  <si>
    <t>CONT-3-1</t>
  </si>
  <si>
    <t>Используются сетевые политики для разграничения доступа между микросервисами</t>
  </si>
  <si>
    <t>CONT-3-2</t>
  </si>
  <si>
    <t>Настроены и используются L7 сетевые политики контроля трафика  в режиме Block</t>
  </si>
  <si>
    <t>CONT-3-3</t>
  </si>
  <si>
    <t>Осуществляется мониторинг  запускаемых процессов, сетевых соединений и использования файлов в контейнерах. Правила регулярно обновляются и учитывают актуальные угрозы</t>
  </si>
  <si>
    <t>3.2.2*; 5.3.2*; 5.6.1*</t>
  </si>
  <si>
    <t>CONT-3-4</t>
  </si>
  <si>
    <t>Используются кастомизированные политики Runtime для сред контейнеризации, как минимум уровня всего кластера</t>
  </si>
  <si>
    <t>5.2.1*</t>
  </si>
  <si>
    <t>CONT-3-5</t>
  </si>
  <si>
    <t>Используются профили seccomp, кастомизированные под микросервисы</t>
  </si>
  <si>
    <t>2.17</t>
  </si>
  <si>
    <t>CONT-3-6</t>
  </si>
  <si>
    <t>Используется мониторинг аномалий для запущенных контейнеров</t>
  </si>
  <si>
    <t>10.1
16.2</t>
  </si>
  <si>
    <t>CONT-4-1</t>
  </si>
  <si>
    <t>Настроены и используются кастомизированные Runtime политики для отдельных контейнерных приложений в режиме block</t>
  </si>
  <si>
    <t>*кастомные политики с учетом актуальных угроз</t>
  </si>
  <si>
    <t>Не применимо</t>
  </si>
  <si>
    <t>Частично выполняется</t>
  </si>
  <si>
    <r>
      <t xml:space="preserve">Процент выполнения </t>
    </r>
    <r>
      <rPr>
        <b/>
        <u/>
        <sz val="14"/>
        <color theme="1"/>
        <rFont val="Calibri"/>
        <family val="2"/>
        <charset val="204"/>
        <scheme val="minor"/>
      </rPr>
      <t>всех практик кажого домена</t>
    </r>
    <r>
      <rPr>
        <b/>
        <sz val="14"/>
        <color theme="1"/>
        <rFont val="Calibri"/>
        <family val="2"/>
        <charset val="204"/>
        <scheme val="minor"/>
      </rPr>
      <t xml:space="preserve"> JCSF</t>
    </r>
  </si>
  <si>
    <r>
      <t xml:space="preserve">Процент выполнения </t>
    </r>
    <r>
      <rPr>
        <b/>
        <u/>
        <sz val="14"/>
        <color theme="1"/>
        <rFont val="Calibri"/>
        <family val="2"/>
        <charset val="204"/>
        <scheme val="minor"/>
      </rPr>
      <t>каждого уровня зрелости</t>
    </r>
    <r>
      <rPr>
        <b/>
        <sz val="14"/>
        <color theme="1"/>
        <rFont val="Calibri"/>
        <family val="2"/>
        <charset val="204"/>
        <scheme val="minor"/>
      </rPr>
      <t xml:space="preserve"> JCSF</t>
    </r>
  </si>
  <si>
    <t xml:space="preserve">Общие контроли (gen) </t>
  </si>
  <si>
    <t xml:space="preserve">Безопасность узлов сред контейнеризации (nodes) </t>
  </si>
  <si>
    <t>Безопасность оркестратора Kubernetes (orchr)</t>
  </si>
  <si>
    <t>Безопасность манифестов (man)</t>
  </si>
  <si>
    <t>Безопасность образов контейнеров (img)</t>
  </si>
  <si>
    <t>Безопасность запущенных контейнеров (containers)</t>
  </si>
  <si>
    <r>
      <t xml:space="preserve">Соответствие уровню зрелости </t>
    </r>
    <r>
      <rPr>
        <b/>
        <u/>
        <sz val="14"/>
        <color theme="1"/>
        <rFont val="Calibri"/>
        <family val="2"/>
        <charset val="204"/>
        <scheme val="minor"/>
      </rPr>
      <t>каждого домена</t>
    </r>
    <r>
      <rPr>
        <b/>
        <sz val="14"/>
        <color theme="1"/>
        <rFont val="Calibri"/>
        <family val="2"/>
        <charset val="204"/>
        <scheme val="minor"/>
      </rPr>
      <t xml:space="preserve"> JCSF</t>
    </r>
  </si>
  <si>
    <t>Общий уровень зрелости по JCSF</t>
  </si>
  <si>
    <t>ID</t>
  </si>
  <si>
    <t>Level0 - Unitiated</t>
  </si>
  <si>
    <t>Level1 - Beginners</t>
  </si>
  <si>
    <t>Level2 - Intermediate</t>
  </si>
  <si>
    <t>Level3 - Advanced</t>
  </si>
  <si>
    <t>Level4 - Experts</t>
  </si>
  <si>
    <t>Общие практики безопасности (Gen)</t>
  </si>
  <si>
    <t>Gen-0-1</t>
  </si>
  <si>
    <t>Базовые контроли не выполняются</t>
  </si>
  <si>
    <t>Безопасность nodes (Nodes)</t>
  </si>
  <si>
    <t>Nodes-0-1</t>
  </si>
  <si>
    <t>Стандарты безопасности для узлов не применяются</t>
  </si>
  <si>
    <t>Безопасность оркестратора (Orch)</t>
  </si>
  <si>
    <t>Orch-0-1</t>
  </si>
  <si>
    <t>Стандарты безопасности оркестраторов не применяются</t>
  </si>
  <si>
    <t>Безопасность сред контейнеризации Docker
(Dock)</t>
  </si>
  <si>
    <t>Dock-0-1</t>
  </si>
  <si>
    <t>Стандарты безопасности сред контейнеризации Docker не применяются</t>
  </si>
  <si>
    <t>Безопасность запускаемых приложений
(IMG)</t>
  </si>
  <si>
    <t>IMG-0-1</t>
  </si>
  <si>
    <t>Стандарты безопасности для сред контейнеризации не применяются</t>
  </si>
  <si>
    <t>Безопасность запускаемых приложений (MAN)</t>
  </si>
  <si>
    <t>MAN-0-1</t>
  </si>
  <si>
    <t>Безопасность запускаемых приложений
(CONT)</t>
  </si>
  <si>
    <t>CONT-0-1</t>
  </si>
  <si>
    <t>ID в CIS k8s</t>
  </si>
  <si>
    <t>JCSF</t>
  </si>
  <si>
    <t>Control Plane Components</t>
  </si>
  <si>
    <t>Control Plane Node Configuration Files</t>
  </si>
  <si>
    <t>Ensure that the API server pod specification file permissions are set to 600 or more restrictive</t>
  </si>
  <si>
    <t>Ensure that the API server pod specification file has permissions of 600 or more restrictive.</t>
  </si>
  <si>
    <t>ORCH-2-5</t>
  </si>
  <si>
    <t>Ensure that the API server pod specification file ownership is set to root:root</t>
  </si>
  <si>
    <t>Ensure that the API server pod specification file ownership is set to root:root.</t>
  </si>
  <si>
    <t>Ensure that the controller manager pod specification file permissions are set to 600 or more restrictive</t>
  </si>
  <si>
    <t>Ensure that the controller manager pod specification file has permissions of 600 or more restrictive.</t>
  </si>
  <si>
    <t>1.1.4</t>
  </si>
  <si>
    <t>Ensure that the controller manager pod specification file ownership is set to root:root</t>
  </si>
  <si>
    <t>Ensure that the controller manager pod specification file ownership is set to root:root.</t>
  </si>
  <si>
    <t>1.1.5</t>
  </si>
  <si>
    <t>Ensure that the scheduler pod specification file permissions are set to 600 or more restrictive</t>
  </si>
  <si>
    <t>Ensure that the scheduler pod specification file has permissions of 600 or more restrictive.</t>
  </si>
  <si>
    <t>1.1.6</t>
  </si>
  <si>
    <t>Ensure that the scheduler pod specification file ownership is set to root:root</t>
  </si>
  <si>
    <t>Ensure that the scheduler pod specification file ownership is set to root:root.</t>
  </si>
  <si>
    <t>1.1.7</t>
  </si>
  <si>
    <t>Ensure that the etcd pod specification file permissions are set to 600 or more restrictive</t>
  </si>
  <si>
    <t>Ensure that the /etc/kubernetes/manifests/etcd.yaml file has permissions of 600 or more restrictive.</t>
  </si>
  <si>
    <t>1.1.8</t>
  </si>
  <si>
    <t>Ensure that the etcd pod specification file ownership is set to root:root</t>
  </si>
  <si>
    <t>Ensure that the /etc/kubernetes/manifests/etcd.yaml file ownership is set to root:root.</t>
  </si>
  <si>
    <t>1.1.9</t>
  </si>
  <si>
    <t>Ensure that the Container Network Interface file permissions are set to 600 or more restrictive</t>
  </si>
  <si>
    <t>Ensure that the Container Network Interface files have permissions of 600 or more restrictive.</t>
  </si>
  <si>
    <t>1.1.10</t>
  </si>
  <si>
    <t>Ensure that the Container Network Interface file ownership is set to root:root</t>
  </si>
  <si>
    <t>Ensure that the Container Network Interface files have ownership set to root:root.</t>
  </si>
  <si>
    <t>1.1.11</t>
  </si>
  <si>
    <t>Ensure that the etcd data directory permissions are set to 700 or more restrictive</t>
  </si>
  <si>
    <t>Ensure that the etcd data directory has permissions of 700 or more restrictive.</t>
  </si>
  <si>
    <t>1.1.12</t>
  </si>
  <si>
    <t>Ensure that the etcd data directory ownership is set to etcd:etcd</t>
  </si>
  <si>
    <t>Ensure that the etcd data directory ownership is set to etcd:etcd.</t>
  </si>
  <si>
    <t>1.1.13</t>
  </si>
  <si>
    <t>Ensure that the default administrative credential file permissions are set to 600</t>
  </si>
  <si>
    <t>Ensure that the admin.conf file (and super-admin.conf file, where it exists) have permissions of 600.</t>
  </si>
  <si>
    <t>1.1.14</t>
  </si>
  <si>
    <t>Ensure that the default administrative credential file ownership is set to root:root</t>
  </si>
  <si>
    <t>Ensure that the admin.conf (and super-admin.conf file, where it exists) file ownership is set to root:root.</t>
  </si>
  <si>
    <t>1.1.15</t>
  </si>
  <si>
    <t>Ensure that the scheduler.conf file permissions are set to 600 or more restrictive</t>
  </si>
  <si>
    <t>Ensure that the scheduler.conf file has permissions of 600 or more restrictive.</t>
  </si>
  <si>
    <t>1.1.16</t>
  </si>
  <si>
    <t>Ensure that the scheduler.conf file ownership is set to root:root</t>
  </si>
  <si>
    <t>Ensure that the scheduler.conf file ownership is set to root:root.</t>
  </si>
  <si>
    <t>1.1.17</t>
  </si>
  <si>
    <t>Ensure that the controller-manager.conf file permissions are set to 600 or more restrictive</t>
  </si>
  <si>
    <t>Ensure that the controller-manager.conf file has permissions of 600 or more restrictive.</t>
  </si>
  <si>
    <t>1.1.18</t>
  </si>
  <si>
    <t>Ensure that the controller-manager.conf file ownership is set to root:root</t>
  </si>
  <si>
    <t>Ensure that the controller-manager.conf file ownership is set to root:root.</t>
  </si>
  <si>
    <t>1.1.19</t>
  </si>
  <si>
    <t>Ensure that the Kubernetes PKI directory and file ownership is set to root:root</t>
  </si>
  <si>
    <t>Ensure that the Kubernetes PKI directory and file ownership is set to root:root.</t>
  </si>
  <si>
    <t>1.1.20</t>
  </si>
  <si>
    <t>Ensure that the Kubernetes PKI certificate file permissions are set to 644 or more restrictive</t>
  </si>
  <si>
    <t>Ensure that Kubernetes PKI certificate files have permissions of 644 or more restrictive.</t>
  </si>
  <si>
    <t>1.1.21</t>
  </si>
  <si>
    <t>Ensure that the Kubernetes PKI key file permissions are set to 600</t>
  </si>
  <si>
    <t>Ensure that Kubernetes PKI key files have permissions of 600.</t>
  </si>
  <si>
    <t>API Server</t>
  </si>
  <si>
    <t>Ensure that the --anonymous-auth argument is set to false</t>
  </si>
  <si>
    <t>Disable anonymous requests to the API server.</t>
  </si>
  <si>
    <t>ORCH-1-1</t>
  </si>
  <si>
    <t>Ensure that the --token-auth-file parameter is not set</t>
  </si>
  <si>
    <t>Do not use token based authentication.</t>
  </si>
  <si>
    <t>ORCH-1-2</t>
  </si>
  <si>
    <t>1.2.3</t>
  </si>
  <si>
    <t>Ensure that the DenyServiceExternalIPs is set</t>
  </si>
  <si>
    <t>This admission controller rejects all net-new usage of the Service field externalIPs.</t>
  </si>
  <si>
    <t>1.2.4</t>
  </si>
  <si>
    <t>Ensure that the --kubelet-client-certificate and --kubelet client-key arguments are set as appropriate</t>
  </si>
  <si>
    <t>Enable certificate based kubelet authentication.</t>
  </si>
  <si>
    <t>ORCH-1-5</t>
  </si>
  <si>
    <t>1.2.5</t>
  </si>
  <si>
    <t>Ensure that the --kubelet-certificate-authority argument is set as appropriate</t>
  </si>
  <si>
    <t>Verify kubelet's certificate before establishing connection.</t>
  </si>
  <si>
    <t>1.2.6</t>
  </si>
  <si>
    <t>Ensure that the --authorization-mode argument is not set to AlwaysAllow</t>
  </si>
  <si>
    <t>Do not always authorize all requests.</t>
  </si>
  <si>
    <t>1.2.7</t>
  </si>
  <si>
    <t>Ensure that the --authorization-mode argument includes Node</t>
  </si>
  <si>
    <t>Restrict kubelet nodes to reading only objects associated with them.</t>
  </si>
  <si>
    <t>1.2.8</t>
  </si>
  <si>
    <t>Ensure that the --authorization-mode argument includes RBAC</t>
  </si>
  <si>
    <t>Turn on Role Based Access Control.</t>
  </si>
  <si>
    <t>ORCH-1-1; ORCH-2-10</t>
  </si>
  <si>
    <t>1.2.9</t>
  </si>
  <si>
    <t>Ensure that the admission control plugin EventRateLimit is set</t>
  </si>
  <si>
    <t>Limit the rate at which the API server accepts requests.</t>
  </si>
  <si>
    <t>Ensure that the admission control plugin AlwaysAdmit is not set</t>
  </si>
  <si>
    <t>Do not allow all requests.</t>
  </si>
  <si>
    <t>ORCH-1-6</t>
  </si>
  <si>
    <t>Ensure that the admission control plugin AlwaysPullImages is set</t>
  </si>
  <si>
    <t>Always pull images.</t>
  </si>
  <si>
    <t>ORCH-2-4</t>
  </si>
  <si>
    <t>1.2.12</t>
  </si>
  <si>
    <t>Ensure that the admission control plugin ServiceAccount is set</t>
  </si>
  <si>
    <t>Automate service accounts management.</t>
  </si>
  <si>
    <t>Ensure that the admission control plugin NamespaceLifecycle is set</t>
  </si>
  <si>
    <t>Reject creating objects in a namespace that is undergoing termination.</t>
  </si>
  <si>
    <t>ORCH-3-1</t>
  </si>
  <si>
    <t>1.2.14</t>
  </si>
  <si>
    <t>Ensure that the admission control plugin NodeRestriction is set</t>
  </si>
  <si>
    <t>Limit the Node and Pod objects that a kubelet could modify.</t>
  </si>
  <si>
    <t>1.2.15</t>
  </si>
  <si>
    <t>Ensure that the --profiling argument is set to false</t>
  </si>
  <si>
    <t>Disable profiling, if not needed.</t>
  </si>
  <si>
    <t>1.2.16</t>
  </si>
  <si>
    <t>Ensure that the --audit-log-path argument is set</t>
  </si>
  <si>
    <t>Enable auditing on the Kubernetes API Server and set the desired audit log path.</t>
  </si>
  <si>
    <t>ORCH-2-8</t>
  </si>
  <si>
    <t>1.2.17</t>
  </si>
  <si>
    <t>Ensure that the --audit-log-maxage argument is set to 30 or as appropriate</t>
  </si>
  <si>
    <t>Retain the logs for at least 30 days or as appropriate.</t>
  </si>
  <si>
    <t>1.2.18</t>
  </si>
  <si>
    <t>Ensure that the --audit-log-maxbackup argument is set to 10 or as appropriate</t>
  </si>
  <si>
    <t>Retain 10 or an appropriate number of old log files.</t>
  </si>
  <si>
    <t>1.2.19</t>
  </si>
  <si>
    <t>Ensure that the --audit-log-maxsize argument is set to 100 or as appropriate</t>
  </si>
  <si>
    <t>Rotate log files on reaching 100 MB or as appropriate.</t>
  </si>
  <si>
    <t>1.2.20</t>
  </si>
  <si>
    <t>Ensure that the --request-timeout argument is set as appropriate</t>
  </si>
  <si>
    <t>Set global request timeout for API server requests as appropriate.</t>
  </si>
  <si>
    <t>1.2.21</t>
  </si>
  <si>
    <t>Ensure that the --service-account-lookup argument is set to true</t>
  </si>
  <si>
    <t>Validate service account before validating token.</t>
  </si>
  <si>
    <t>1.2.22</t>
  </si>
  <si>
    <t>Ensure that the --service-account-key-file argument is set as appropriate</t>
  </si>
  <si>
    <t>Explicitly set a service account public key file for service accounts on the apiserver.</t>
  </si>
  <si>
    <t>1.2.23</t>
  </si>
  <si>
    <t>Ensure that the --etcd-certfile and --etcd-keyfile arguments are set as appropriate</t>
  </si>
  <si>
    <t>etcd should be configured to make use of TLS encryption for client connections.</t>
  </si>
  <si>
    <t>ORCH-1-7</t>
  </si>
  <si>
    <t>1.2.24</t>
  </si>
  <si>
    <t>Ensure that the --tls-cert-file and --tls-private-key-file arguments are set as appropriate</t>
  </si>
  <si>
    <t>Setup TLS connection on the API server.</t>
  </si>
  <si>
    <t>ORCH-1-4</t>
  </si>
  <si>
    <t>1.2.25</t>
  </si>
  <si>
    <t>Ensure that the --client-ca-file argument is set as appropriate</t>
  </si>
  <si>
    <t>1.2.26</t>
  </si>
  <si>
    <t>Ensure that the --etcd-cafile argument is set as appropriate</t>
  </si>
  <si>
    <t>1.2.27</t>
  </si>
  <si>
    <t>Ensure that the --encryption-provider-config argument is set as appropriate</t>
  </si>
  <si>
    <t>Encrypt etcd key-value store.</t>
  </si>
  <si>
    <t>ORCH-3-4</t>
  </si>
  <si>
    <t>1.2.28</t>
  </si>
  <si>
    <t>Ensure that encryption providers are appropriately configured</t>
  </si>
  <si>
    <t>Where etcd encryption is used, appropriate providers should be configured.</t>
  </si>
  <si>
    <t>1.2.29</t>
  </si>
  <si>
    <t>Ensure that the API Server only makes use of Strong Cryptographic Ciphers</t>
  </si>
  <si>
    <t>Ensure that the API server is configured to only use strong cryptographic ciphers.</t>
  </si>
  <si>
    <t>1.2.30</t>
  </si>
  <si>
    <t>Ensure that the --service-account-extend-token-expiration parameter is set to false</t>
  </si>
  <si>
    <t>By default Kubernetes extends service account token lifetimes to one year to aid in transition from the legacy token settings.</t>
  </si>
  <si>
    <t>Controller Manager</t>
  </si>
  <si>
    <t>1.3.1</t>
  </si>
  <si>
    <t>Ensure that the --terminated-pod-gc-threshold argument is set as appropriate</t>
  </si>
  <si>
    <t>Activate garbage collector on pod termination, as appropriate.</t>
  </si>
  <si>
    <t>1.3.2</t>
  </si>
  <si>
    <t>1.3.3</t>
  </si>
  <si>
    <t>Ensure that the --use-service-account-credentials argument is set to true</t>
  </si>
  <si>
    <t>Use individual service account credentials for each controller.</t>
  </si>
  <si>
    <t>1.3.4</t>
  </si>
  <si>
    <t>Ensure that the --service-account-private-key-file argument is set as appropriate</t>
  </si>
  <si>
    <t>Explicitly set a service account private key file for service accounts on the controller manager.</t>
  </si>
  <si>
    <t>1.3.5</t>
  </si>
  <si>
    <t>Ensure that the --root-ca-file argument is set as appropriate</t>
  </si>
  <si>
    <t>Allow pods to verify the API server's serving certificate before establishing connections.</t>
  </si>
  <si>
    <t>1.3.6</t>
  </si>
  <si>
    <t>Ensure that the RotateKubeletServerCertificate argument is set to true</t>
  </si>
  <si>
    <t>Enable kubelet server certificate rotation on controller-manager.</t>
  </si>
  <si>
    <t>1.3.7</t>
  </si>
  <si>
    <t>Ensure that the --bind-address argument is set to 127.0.0.1</t>
  </si>
  <si>
    <t>Do not bind the Controller Manager service to non-loopback insecure addresses.</t>
  </si>
  <si>
    <t>Scheduler</t>
  </si>
  <si>
    <t>1.4.1</t>
  </si>
  <si>
    <t>1.4.2</t>
  </si>
  <si>
    <t>Do not bind the scheduler service to non-loopback insecure addresses.</t>
  </si>
  <si>
    <t>Etcd</t>
  </si>
  <si>
    <t>Ensure that the --cert-file and --key-file arguments are set as appropriate</t>
  </si>
  <si>
    <t>Configure TLS encryption for the etcd service.</t>
  </si>
  <si>
    <t>Ensure that the --client-cert-auth argument is set to true</t>
  </si>
  <si>
    <t>Enable client authentication on etcd service.</t>
  </si>
  <si>
    <t>Ensure that the --auto-tls argument is not set to true</t>
  </si>
  <si>
    <t>Do not use self-signed certificates for TLS.</t>
  </si>
  <si>
    <t>Ensure that the --peer-cert-file and --peer-key-file arguments are set as appropriate</t>
  </si>
  <si>
    <t>etcd should be configured to make use of TLS encryption for peer connections.</t>
  </si>
  <si>
    <t>Ensure that the --peer-client-cert-auth argument is set to true</t>
  </si>
  <si>
    <t>etcd should be configured for peer authentication.</t>
  </si>
  <si>
    <t>Ensure that the --peer-auto-tls argument is not set to true</t>
  </si>
  <si>
    <t>Do not use automatically generated self-signed certificates for TLS connections between peers.</t>
  </si>
  <si>
    <t>Ensure that a unique Certificate Authority is used for etcd</t>
  </si>
  <si>
    <t>Use a different certificate authority for etcd from the one used for Kubernetes.</t>
  </si>
  <si>
    <t>Control Plane Configuration</t>
  </si>
  <si>
    <t>Authentication and Authorization</t>
  </si>
  <si>
    <t>3.1.1</t>
  </si>
  <si>
    <t>Client certificate authentication should not be used for users</t>
  </si>
  <si>
    <t>Kubernetes provides the option to use client certificates for user authentication. However as there is no way to revoke these certificates when a user leaves an organization or loses their credential, they are not suitable for this purpose.
It is not possible to fully disable client certificate use within a cluster as it is used for component to component authentication.</t>
  </si>
  <si>
    <t>ORCH-2-11</t>
  </si>
  <si>
    <t>3.1.2</t>
  </si>
  <si>
    <t>Service account token authentication should not be used for users</t>
  </si>
  <si>
    <t>Kubernetes provides service account tokens which are intended for use by workloads running in the Kubernetes cluster, for authentication to the API server.
These tokens are not designed for use by end-users and do not provide for features such as revocation or expiry, making them insecure. A newer version of the feature (Bound service account token volumes) does introduce expiry but still does not allow for specific revocation.</t>
  </si>
  <si>
    <t>ORCH-1-3; ORCH-2-11</t>
  </si>
  <si>
    <t>3.1.3</t>
  </si>
  <si>
    <t>Bootstrap token authentication should not be used for users</t>
  </si>
  <si>
    <t>Kubernetes provides bootstrap tokens which are intended for use by new nodes joining the cluster.
These tokens are not designed for use by end-users they are specifically designed for the purpose of bootstrapping new nodes and not for general authentication.</t>
  </si>
  <si>
    <t>Logging</t>
  </si>
  <si>
    <t>3.2.1</t>
  </si>
  <si>
    <t>Ensure that a minimal audit policy is created</t>
  </si>
  <si>
    <t>Kubernetes can audit the details of requests made to the API server. The --audit policy-file flag must be set for this logging to be enabled.</t>
  </si>
  <si>
    <t>Ensure that the audit policy covers key security concerns</t>
  </si>
  <si>
    <t>Ensure that the audit policy created for the cluster covers key security concerns.</t>
  </si>
  <si>
    <t>ORCH-2-9; CONT-2-3; CONT-3-3</t>
  </si>
  <si>
    <t>Worker Nodes</t>
  </si>
  <si>
    <t>Worker Node Configuration Files</t>
  </si>
  <si>
    <t>4.1.1</t>
  </si>
  <si>
    <t>Ensure that the kubelet service file permissions are set to 600 or more restrictive</t>
  </si>
  <si>
    <t>Ensure that the kubelet service file has permissions of 600 or more restrictive.</t>
  </si>
  <si>
    <t>ORCH-2-6</t>
  </si>
  <si>
    <t>4.1.2</t>
  </si>
  <si>
    <t>Ensure that the kubelet service file ownership is set to root:root</t>
  </si>
  <si>
    <t>Ensure that the kubelet service file ownership is set to root:root.</t>
  </si>
  <si>
    <t>4.1.3</t>
  </si>
  <si>
    <t>If proxy kubeconfig file exists ensure permissions are set to 600 or more restrictive</t>
  </si>
  <si>
    <t>If kube-proxy is running, and if it is using a file-based kubeconfig file, ensure that the proxy kubeconfig file has permissions of 600 or more restrictive.</t>
  </si>
  <si>
    <t>4.1.4</t>
  </si>
  <si>
    <t>If proxy kubeconfig file exists ensure ownership is set to root:root</t>
  </si>
  <si>
    <t>If kube-proxy is running, ensure that the file ownership of its kubeconfig file is set to root:root.</t>
  </si>
  <si>
    <t>4.1.5</t>
  </si>
  <si>
    <t>Ensure that the --kubeconfig kubelet.conf file permissions are set to 600 or more restrictive</t>
  </si>
  <si>
    <t>Ensure that the kubelet.conf file has permissions of 600 or more restrictive.</t>
  </si>
  <si>
    <t>4.1.6</t>
  </si>
  <si>
    <t>Ensure that the --kubeconfig kubelet.conf file ownership is set to root:root</t>
  </si>
  <si>
    <t>Ensure that the kubelet.conf file ownership is set to root:root.</t>
  </si>
  <si>
    <t>4.1.7</t>
  </si>
  <si>
    <t>Ensure that the certificate authorities file permissions are set to 644 or more restrictive</t>
  </si>
  <si>
    <t>Ensure that the certificate authorities file has permissions of 644 or more restrictive.</t>
  </si>
  <si>
    <t>4.1.8</t>
  </si>
  <si>
    <t>Ensure that the client certificate authorities file ownership is set to root:root</t>
  </si>
  <si>
    <t>Ensure that the certificate authorities file ownership is set to root:root.</t>
  </si>
  <si>
    <t>4.1.9</t>
  </si>
  <si>
    <t>If the kubelet config.yaml configuration file is being used validate permissions set to 600 or more restrictive</t>
  </si>
  <si>
    <t>Ensure that if the kubelet refers to a configuration file with the --config argument, that file has permissions of 600 or more restrictive.</t>
  </si>
  <si>
    <t>4.1.10</t>
  </si>
  <si>
    <t>If the kubelet config.yaml configuration file is being used validate file ownership is set to root:root</t>
  </si>
  <si>
    <t>Ensure that if the kubelet refers to a configuration file with the --config argument, that file is owned by root:root.</t>
  </si>
  <si>
    <t>Kubelet</t>
  </si>
  <si>
    <t>4.2.1</t>
  </si>
  <si>
    <t>Disable anonymous requests to the Kubelet server.</t>
  </si>
  <si>
    <t>ORCH-1-8</t>
  </si>
  <si>
    <t>Do not allow all requests. Enable explicit authorization.</t>
  </si>
  <si>
    <t>ORCH-1-8; ORCH-1-11</t>
  </si>
  <si>
    <t>4.2.3</t>
  </si>
  <si>
    <t>Enable Kubelet authentication using certificates.</t>
  </si>
  <si>
    <t>ORCH-1-5; ORCH-1-10</t>
  </si>
  <si>
    <t>Verify that if defined, readOnlyPort is set to 0</t>
  </si>
  <si>
    <t>Disable the read-only port.</t>
  </si>
  <si>
    <t>ORCH-1-9</t>
  </si>
  <si>
    <t>4.2.5</t>
  </si>
  <si>
    <t>Ensure that the --streaming-connection-idle-timeout argument is not set to 0</t>
  </si>
  <si>
    <t>Do not disable timeouts on streaming connections.</t>
  </si>
  <si>
    <t>4.2.6</t>
  </si>
  <si>
    <t>Ensure that the --make-iptables-util-chains argument is set to true</t>
  </si>
  <si>
    <t>Allow Kubelet to manage iptables.</t>
  </si>
  <si>
    <t>4.2.7</t>
  </si>
  <si>
    <t>Ensure that the --hostname-override argument is not set</t>
  </si>
  <si>
    <t>Do not override node hostnames.</t>
  </si>
  <si>
    <t>4.2.8</t>
  </si>
  <si>
    <t>Ensure that the eventRecordQPS argument is set to a level which ensures appropriate event capture</t>
  </si>
  <si>
    <t>Security relevant information should be captured. The eventRecordQPS on the Kubelet configuration can be used to limit the rate at which events are gathered and sets the maximum event creations per second. Setting this too low could result in relevant events not being logged, however the unlimited setting of 0 could result in a denial of service on the kubelet.</t>
  </si>
  <si>
    <t>4.2.9</t>
  </si>
  <si>
    <t>Setup TLS connection on the Kubelets.</t>
  </si>
  <si>
    <t>ORCH-1-10</t>
  </si>
  <si>
    <t>4.2.10</t>
  </si>
  <si>
    <t>Ensure that the --rotate-certificates argument is not set to false</t>
  </si>
  <si>
    <t>Enable kubelet client certificate rotation.</t>
  </si>
  <si>
    <t>ORCH-3-3</t>
  </si>
  <si>
    <t>4.2.11</t>
  </si>
  <si>
    <t>Verify that the RotateKubeletServerCertificate argument is set to true</t>
  </si>
  <si>
    <t>Enable kubelet server certificate rotation.</t>
  </si>
  <si>
    <t>4.2.12</t>
  </si>
  <si>
    <t>Ensure that the Kubelet only makes use of Strong Cryptographic Ciphers</t>
  </si>
  <si>
    <t>Ensure that the Kubelet is configured to only use strong cryptographic ciphers.</t>
  </si>
  <si>
    <t>Ensure that a limit is set on pod PIDs</t>
  </si>
  <si>
    <t>Ensure that the Kubelet sets limits on the number of PIDs that can be created by pods running on the node.</t>
  </si>
  <si>
    <t>MAN-2-8; CONT-1-2</t>
  </si>
  <si>
    <t>4.2.14</t>
  </si>
  <si>
    <t>Ensure that the --seccomp-default parameter is set to true</t>
  </si>
  <si>
    <t>Ensure that the Kubelet enforces the use of the RuntimeDefault seccomp profile.</t>
  </si>
  <si>
    <t>4.2.15</t>
  </si>
  <si>
    <t>Ensure that the --IPAddressDeny is set to any</t>
  </si>
  <si>
    <t>Ensuring that --IPAddressDeny is set to "Any" will facilitate allowlisting of only IP addresses that are explicitly set with the --IPAddressAllow parameter which will block unspecified IP addresses from communicating with the kubelet component.</t>
  </si>
  <si>
    <t>Kube-proxy</t>
  </si>
  <si>
    <t>4.3.1</t>
  </si>
  <si>
    <t>Ensure that the kube-proxy metrics service is bound to localhost</t>
  </si>
  <si>
    <t>Do not bind the kube-proxy metrics port to non-loopback addresses.</t>
  </si>
  <si>
    <t>Policies</t>
  </si>
  <si>
    <t>RBAC and Service Accounts</t>
  </si>
  <si>
    <t>Ensure that the cluster-admin role is only used where required</t>
  </si>
  <si>
    <t>The RBAC role cluster-admin provides wide-ranging powers over the environment and should be used only where and when needed.</t>
  </si>
  <si>
    <t>ORCH-2-1; ORCH-2-3; ORCH-2-10</t>
  </si>
  <si>
    <t>5.1.2</t>
  </si>
  <si>
    <t>Minimize access to secrets</t>
  </si>
  <si>
    <t>The Kubernetes API stores secrets, which may be service account tokens for the Kubernetes API or credentials used by workloads in the cluster. Access to these secrets should be restricted to the smallest possible group of users to reduce the risk of privilege escalation.</t>
  </si>
  <si>
    <t>ORCH-2-10; MAN-1-1</t>
  </si>
  <si>
    <t>5.1.3</t>
  </si>
  <si>
    <t>Minimize wildcard use in Roles and ClusterRoles</t>
  </si>
  <si>
    <t>Kubernetes Roles and ClusterRoles provide access to resources based on sets of objects and actions that can be taken on those objects. It is possible to set either of these to be the wildcard "*" which matches all items.
Use of wildcards is not optimal from a security perspective as it may allow for inadvertent access to be granted when new resources are added to the Kubernetes API either as CRDs or in later versions of the product.</t>
  </si>
  <si>
    <t>ORCH-2-10</t>
  </si>
  <si>
    <t>5.1.4</t>
  </si>
  <si>
    <t>Minimize access to create pods</t>
  </si>
  <si>
    <t>The ability to create pods in a namespace can provide a number of opportunities for privilege escalation, such as assigning privileged service accounts to these pods or mounting hostPaths with access to sensitive data (unless Pod Security Policies are implemented to restrict this access).
As such, access to create new pods should be restricted to the smallest possible group of users.</t>
  </si>
  <si>
    <t>5.1.5</t>
  </si>
  <si>
    <t>Ensure that default service accounts are not actively used</t>
  </si>
  <si>
    <t>The default service account should not be used to ensure that rights granted to applications can be more easily audited and reviewed.</t>
  </si>
  <si>
    <t>5.1.6</t>
  </si>
  <si>
    <t>Ensure that Service Account Tokens are only mounted where necessary</t>
  </si>
  <si>
    <t>Service accounts tokens should not be mounted in pods except where the workload running in the pod explicitly needs to communicate with the API server.</t>
  </si>
  <si>
    <t>5.1.7</t>
  </si>
  <si>
    <t>Avoid use of system:masters group</t>
  </si>
  <si>
    <t>The special group system:masters should not be used to grant permissions to any user or service account, except where strictly necessary (e.g. bootstrapping access prior to RBAC being fully available).</t>
  </si>
  <si>
    <t>5.1.8</t>
  </si>
  <si>
    <t>Limit use of the Bind, Impersonate and Escalate permissions in the Kubernetes cluster</t>
  </si>
  <si>
    <t>Cluster roles and roles with the impersonate, bind or escalate permissions should not be granted unless strictly required. Each of these permissions allow a particular subject to escalate their privileges beyond those explicitly granted by cluster administrators.</t>
  </si>
  <si>
    <t>5.1.9</t>
  </si>
  <si>
    <t>Minimize access to create persistent volumes</t>
  </si>
  <si>
    <t>The ability to create persistent volumes in a cluster can provide an opportunity for privilege escalation, via the creation of hostPath volumes. As persistent volumes are not covered by Pod Security Admission, a user with access to create persistent volumes may be able to get access to sensitive files from the underlying host even where restrictive Pod Security Admission policies are in place.</t>
  </si>
  <si>
    <t>5.1.10</t>
  </si>
  <si>
    <t>Minimize access to the proxy sub-resource of nodes</t>
  </si>
  <si>
    <t>Users with access to the Proxy sub-resource of Node objects automatically have permissions to use the kubelet API, which may allow for privilege escalation or bypass cluster security controls such as audit logs.
The kubelet provides an API which includes rights to execute commands in any container running on the node. Access to this API is covered by permissions to the main Kubernetes API via the node object. The proxy sub-resource specifically allows wide ranging access to the kubelet API.
Direct access to the kubelet API bypasses controls like audit logging (there is no audit log of kubelet API access) and admission control.</t>
  </si>
  <si>
    <t>5.1.11</t>
  </si>
  <si>
    <t>Minimize access to the approval sub-resource of certificatesigningrequests objects</t>
  </si>
  <si>
    <t>Users with access to the update the approval sub-resource of CertificateSigningRequests objects can approve new client certificates for the Kubernetes API effectively allowing them to create new high-privileged user accounts.
This can allow for privilege escalation to full cluster administrator, depending on users configured in the cluster.</t>
  </si>
  <si>
    <t>5.1.12</t>
  </si>
  <si>
    <t>Minimize access to webhook configuration objects</t>
  </si>
  <si>
    <t>Users with rights to create/modify/delete validatingwebhookconfigurations or mutatingwebhookconfigurations can control webhooks that can read any object admitted to the cluster, and in the case of mutating webhooks, also mutate admitted objects. This could allow for privilege escalation or disruption of the operation of the cluster.</t>
  </si>
  <si>
    <t>5.1.13</t>
  </si>
  <si>
    <t>Minimize access to the service account token creation</t>
  </si>
  <si>
    <t>Users with rights to create new service account tokens at a cluster level, can create long-lived privileged credentials in the cluster. This could allow for privilege escalation and persistent access to the cluster, even if the users account has been revoked.</t>
  </si>
  <si>
    <t>Pod Security Standards</t>
  </si>
  <si>
    <t>Ensure that the cluster has at least one active policy control mechanism in place</t>
  </si>
  <si>
    <t>Every Kubernetes cluster should have at least one policy control mechanism in place to enforce the other requirements in this section. This could be the in-built Pod Security Admission controller, or a third party policy control system.</t>
  </si>
  <si>
    <t>ORCH-2-13; MAN-3-1; CONT-3-4; CONT-4-1</t>
  </si>
  <si>
    <t>Minimize the admission of privileged containers</t>
  </si>
  <si>
    <t>Do not generally permit containers to be run with the securityContext.privileged flag set to true.</t>
  </si>
  <si>
    <t>MAN-1-2; MAN-3-3</t>
  </si>
  <si>
    <t>5.2.3</t>
  </si>
  <si>
    <t>Minimize the admission of containers wishing to share the host process ID namespace</t>
  </si>
  <si>
    <t>Do not generally permit containers to be run with the hostPID flag set to true.</t>
  </si>
  <si>
    <t>Minimize the admission of containers wishing to share the host IPC namespace</t>
  </si>
  <si>
    <t>Do not generally permit containers to be run with the hostIPC flag set to true.</t>
  </si>
  <si>
    <t>5.2.5</t>
  </si>
  <si>
    <t>Minimize the admission of containers wishing to share the host network namespace</t>
  </si>
  <si>
    <t>Do not generally permit containers to be run with the hostNetwork flag set to true.</t>
  </si>
  <si>
    <t>5.2.6</t>
  </si>
  <si>
    <t>Minimize the admission of containers with allowPrivilegeEscalation</t>
  </si>
  <si>
    <t>Do not generally permit containers to be run with the allowPrivilegeEscalation flag set to true. Allowing this right can lead to a process running a container getting more rights than it started with.
It's important to note that these rights are still constrained by the overall container sandbox, and this setting does not relate to the use of privileged containers.</t>
  </si>
  <si>
    <t>Minimize the admission of root containers</t>
  </si>
  <si>
    <t>Do not generally permit containers to be run as the root user.</t>
  </si>
  <si>
    <t>5.2.8</t>
  </si>
  <si>
    <t>Minimize the admission of containers with the NET_RAW capability</t>
  </si>
  <si>
    <t>Do not generally permit containers with the potentially dangerous NET_RAW capability.</t>
  </si>
  <si>
    <t>5.2.9</t>
  </si>
  <si>
    <t>Minimize the admission of containers with added capabilities</t>
  </si>
  <si>
    <t>Do not generally permit containers with capabilities assigned beyond the default set.</t>
  </si>
  <si>
    <t>MAN-1-4; MAN-3-4; MAN-4-1</t>
  </si>
  <si>
    <t>5.2.10</t>
  </si>
  <si>
    <t>Minimize the admission of containers with capabilities assigned</t>
  </si>
  <si>
    <t>Do not generally permit containers with capabilities.</t>
  </si>
  <si>
    <t>5.2.11</t>
  </si>
  <si>
    <t>Minimize the admission of Windows HostProcess Containers</t>
  </si>
  <si>
    <t>Do not generally permit Windows containers to be run with the hostProcess flag set to true.</t>
  </si>
  <si>
    <t>Minimize the admission of HostPath volumes</t>
  </si>
  <si>
    <t>Do not generally admit containers which make use of hostPath volumes.</t>
  </si>
  <si>
    <t>MAN-2-2; MAN-2-4</t>
  </si>
  <si>
    <t>5.2.13</t>
  </si>
  <si>
    <t>Minimize the admission of containers which use HostPorts</t>
  </si>
  <si>
    <t>Do not generally permit containers which require the use of HostPorts.</t>
  </si>
  <si>
    <t>Network Policies and CNI</t>
  </si>
  <si>
    <t>5.3.1</t>
  </si>
  <si>
    <t>Ensure that the CNI in use supports Network Policies</t>
  </si>
  <si>
    <t>There are a variety of CNI plugins available for Kubernetes. If the CNI in use does not support Network Policies it may not be possible to effectively restrict traffic in the cluster.</t>
  </si>
  <si>
    <t>Ensure that all Namespaces have Network Policies defined</t>
  </si>
  <si>
    <t>Use network policies to isolate traffic in your cluster network.</t>
  </si>
  <si>
    <t>CONT-2-1; CONT-2-2; CONT-2-3; CONT-3-1; CONT-3-2; CONT-3-3</t>
  </si>
  <si>
    <t>Secrets Management</t>
  </si>
  <si>
    <t>5.4.1</t>
  </si>
  <si>
    <t>Prefer using secrets as files over secrets as environment variables</t>
  </si>
  <si>
    <t>Kubernetes supports mounting secrets as data volumes or as environment variables. Minimize the use of environment variable secrets.</t>
  </si>
  <si>
    <t>Consider external secret storage</t>
  </si>
  <si>
    <t>Consider the use of an external secrets storage and management system, instead of using Kubernetes Secrets directly, if you have more complex secret management needs. Ensure the solution requires authentication to access secrets, has auditing of access to and use of secrets, and encrypts secrets. Some solutions also make it easier to rotate secrets.</t>
  </si>
  <si>
    <t>ORCH-3-6</t>
  </si>
  <si>
    <t>Extensible Admission Control</t>
  </si>
  <si>
    <t>Configure Image Provenance using ImagePolicyWebhook admission controller</t>
  </si>
  <si>
    <t>Configure Image Provenance for your deployment.</t>
  </si>
  <si>
    <t>IMG-1-2; IMG-1-5; IMG-2-1; IMG-3-3</t>
  </si>
  <si>
    <t>General Policies</t>
  </si>
  <si>
    <t>5.6.1</t>
  </si>
  <si>
    <t>Create administrative boundaries between resources using namespaces</t>
  </si>
  <si>
    <t>Use namespaces to isolate your Kubernetes objects.</t>
  </si>
  <si>
    <t>CONT-2-3;CONT-3-3</t>
  </si>
  <si>
    <t>Ensure that the seccomp profile is set to docker/default in your pod definitions</t>
  </si>
  <si>
    <t>Enable docker/default seccomp profile in your pod definitions.</t>
  </si>
  <si>
    <t>MAN-4-2; CONT-1-1</t>
  </si>
  <si>
    <t>5.6.3</t>
  </si>
  <si>
    <t>Apply Security Context to Your Pods and Containers</t>
  </si>
  <si>
    <t>Apply Security Context to Your Pods and Containers.</t>
  </si>
  <si>
    <t>5.6.4</t>
  </si>
  <si>
    <t>The default namespace should not be used</t>
  </si>
  <si>
    <t>Kubernetes provides a default namespace, where objects are placed if no namespace is specified for them. Placing objects in this namespace makes application of RBAC and other controls more difficult.</t>
  </si>
  <si>
    <t>ID в CIS Docker</t>
  </si>
  <si>
    <t>Host Configuration</t>
  </si>
  <si>
    <t>Linux Host Specific Configuration</t>
  </si>
  <si>
    <t>Ensure a separate partition for containers has been created</t>
  </si>
  <si>
    <t>All Docker containers and their data and metadata is stored under /var/lib/dockerdirectory. By default, /var/lib/docker should be mounted under either the / or /varpartitions dependent on how the Linux operating system in use is configured.</t>
  </si>
  <si>
    <t>DOCK-1-2</t>
  </si>
  <si>
    <t>Ensure only trusted users are allowed to control Docker daemon</t>
  </si>
  <si>
    <t>The Docker daemon currently requires access to the Docker socket which is, by default, owned by the user root and the group docker.</t>
  </si>
  <si>
    <t>DOCK-3-2</t>
  </si>
  <si>
    <t>Ensure auditing is configured for the Docker daemon</t>
  </si>
  <si>
    <t>Audit all Docker daemon activities.</t>
  </si>
  <si>
    <t>ORCH-2-8; DOCK-2-1</t>
  </si>
  <si>
    <t>Ensure auditing is configured for Docker files and directories - /run/containerd</t>
  </si>
  <si>
    <t>Audit /run/containerd.</t>
  </si>
  <si>
    <t>ORCH-2-8; DOCK-2-2</t>
  </si>
  <si>
    <t>Ensure auditing is configured for Docker files and directories - /var/lib/docker</t>
  </si>
  <si>
    <t>Audit /var/lib/docker.</t>
  </si>
  <si>
    <t>Ensure auditing is configured for Docker files and directories - /etc/docker</t>
  </si>
  <si>
    <t>Audit /etc/docker.</t>
  </si>
  <si>
    <t>Ensure auditing is configured for Docker files and directories - docker.service</t>
  </si>
  <si>
    <t>Audit the docker.service if applicable.</t>
  </si>
  <si>
    <t>Ensure auditing is configured for Docker files and directories - containerd.sock</t>
  </si>
  <si>
    <t>Audit containerd.sock, if applicable.</t>
  </si>
  <si>
    <t>Ensure auditing is configured for Docker files and directories - docker.sock</t>
  </si>
  <si>
    <t>Audit docker.sock, if applicable.</t>
  </si>
  <si>
    <t>Ensure auditing is configured for Docker files and directories - /etc/default/docker</t>
  </si>
  <si>
    <t>Audit /etc/default/docker, if applicable.</t>
  </si>
  <si>
    <t>Ensure auditing is configured for Docker files and directories - /etc/docker/daemon.json</t>
  </si>
  <si>
    <t>Audit /etc/docker/daemon.json, if applicable.</t>
  </si>
  <si>
    <t>Ensure auditing is configured for Docker files and directories - /etc/containerd/config.toml</t>
  </si>
  <si>
    <t>Audit /etc/containerd/config.toml if applicable.</t>
  </si>
  <si>
    <t>Ensure auditing is configured for Docker files and directories - /etc/sysconfig/docker</t>
  </si>
  <si>
    <t>Audit /etc/sysconfig/docker if applicable.</t>
  </si>
  <si>
    <t>Ensure auditing is configured for Docker files and directories - /usr/bin/containerd</t>
  </si>
  <si>
    <t>Audit /usr/bin/containerd if applicable.</t>
  </si>
  <si>
    <t>Ensure auditing is configured for Docker files and directories - /usr/bin/containerd-shim</t>
  </si>
  <si>
    <t>Audit /usr/bin/containerd-shim if applicable.</t>
  </si>
  <si>
    <t>Ensure auditing is configured for Docker files and directories - /usr/bin/containerd-shim-runc-v1</t>
  </si>
  <si>
    <t>Audit /usr/bin/containerd-shim-runc-v1 if applicable.</t>
  </si>
  <si>
    <t>Ensure auditing is configured for Docker files and directories - /usr/bin/containerd-shim-runc-v2</t>
  </si>
  <si>
    <t>Audit /usr/bin/containerd-shim-runc-v2 if applicable.</t>
  </si>
  <si>
    <t>Ensure auditing is configured for Docker files and directories - /usr/bin/runc</t>
  </si>
  <si>
    <t>Audit /usr/bin/runc if applicable.</t>
  </si>
  <si>
    <t>General Configuration</t>
  </si>
  <si>
    <t>Ensure the container host has been Hardened</t>
  </si>
  <si>
    <t>A container host is able to run one or more containers. It is of utmost importance to harden the host to mitigate host security misconfiguration.</t>
  </si>
  <si>
    <t>NODES-1-1; NODES-1-2; NODES-1-3; NODES-1-6; NODES-1-7; NODES-2-1; NODES-2-2; NODES-2-3; NODES-2-4; NODES-2-5; NODES-2-7; NODES-2-8; NODES-2-11; NODES-2-12; NODES-3-1; NODES-3-2; NODES-3-3; NODES-3-4; NODES-3-6; NODES-3-7; NODES-4-1; NODES-4-3</t>
  </si>
  <si>
    <t>Ensure that the version of Docker is up to date</t>
  </si>
  <si>
    <t>Frequent releases for Docker are issued which address security vulnerabilities, resolve product bugs and bring in new functionality. You should keep a tab on these product updates and upgrade as frequently as possible in line with the general IT security policy of your organization.</t>
  </si>
  <si>
    <t>ORCH-2-2; ORCH-2-7; ORCH-2-12; DOCK-2-6; DOCK-2-9</t>
  </si>
  <si>
    <t>Docker Daemon Configuration</t>
  </si>
  <si>
    <t>Run the Docker daemon as a non-root user, if possible</t>
  </si>
  <si>
    <t>Rootless mode executes the Docker daemon and containers inside a user namespace, with both the daemon and the container are running without root privileges.</t>
  </si>
  <si>
    <t>DOCK-3-7</t>
  </si>
  <si>
    <t>Ensure network traffic is restricted between containers on the default bridge</t>
  </si>
  <si>
    <t>By default, all network traffic is allowed between containers on the same host on the default network bridge. If not desired, restrict all inter-container communication. Link specific containers together that require communication. Alternatively, you can create custom network and only join containers that need to communicate to that custom network.</t>
  </si>
  <si>
    <t>DOCK-4-4</t>
  </si>
  <si>
    <t>Ensure the logging level is set to 'info'</t>
  </si>
  <si>
    <t>Set Docker daemon log level to info.</t>
  </si>
  <si>
    <t>DOCK-1-1</t>
  </si>
  <si>
    <t>Ensure Docker is allowed to make changes to iptables</t>
  </si>
  <si>
    <t>The iptables firewall is used to set up, maintain, and inspect the tables of IP packet filter rules within the Linux kernel. The Docker daemon should be allowed to make changes to the iptables ruleset.</t>
  </si>
  <si>
    <t>DOCK-1-3</t>
  </si>
  <si>
    <t>Ensure insecure registries are not used</t>
  </si>
  <si>
    <t>Docker considers a private registry either secure or insecure. By default, registries are considered secure.</t>
  </si>
  <si>
    <t>Ensure aufs storage driver is not used</t>
  </si>
  <si>
    <t>Do not use aufs as the storage driver for your Docker instance.</t>
  </si>
  <si>
    <t>DOCK-1-5</t>
  </si>
  <si>
    <t>Ensure TLS authentication for Docker daemon is configured</t>
  </si>
  <si>
    <t>It is possible to make the Docker daemon available remotely over a TCP port. If this is required, you should ensure that TLS authentication is configured in order to restrict access to the Docker daemon via IP address and port.</t>
  </si>
  <si>
    <t>DOCK-3-5; DOCK-3-6</t>
  </si>
  <si>
    <t>Ensure the default ulimit is configured appropriately</t>
  </si>
  <si>
    <t>Set the default ulimit options as appropriate in your environment.</t>
  </si>
  <si>
    <t>DOCK-2-3</t>
  </si>
  <si>
    <t>Enable user namespace support</t>
  </si>
  <si>
    <t>You should enable user namespace support in Docker daemon to utilize container user to host user re-mapping. This recommendation is beneficial where the containers you are using do not have an explicit container user defined in the container image. If the container images that you are using have a pre-defined non-root user, this recommendation may be skipped as this feature is still in its infancy, and might result in unpredictable issues or difficulty in configuration.</t>
  </si>
  <si>
    <t>Ensure the default cgroup usage has been confirmed</t>
  </si>
  <si>
    <t>The --cgroup-parent option allows you to set the default cgroup parent to use for all containers. If there is no specific usage requirement for this, the setting should be left at its default.</t>
  </si>
  <si>
    <t>DOCK-1-6; DOCK-4-5</t>
  </si>
  <si>
    <t>Ensure base device size is not changed until needed</t>
  </si>
  <si>
    <t>Under certain circumstances, you might need containers larger than 10G. Where this applies you should carefully choose the base device size.</t>
  </si>
  <si>
    <t>Ensure that authorization for Docker client commands is enabled</t>
  </si>
  <si>
    <t>You should use native Docker authorization plugins or a third party authorization mechanism with the Docker daemon to manage access to Docker client commands.</t>
  </si>
  <si>
    <t>ORCH-2-10; DOCK-4-3</t>
  </si>
  <si>
    <t>Ensure centralized and remote logging is configured</t>
  </si>
  <si>
    <t>Docker supports various logging mechanisms. A preferable method for storing logs is one that supports centralized and remote management.</t>
  </si>
  <si>
    <t>ORCH-3-5; DOCK-3-1; DOCK-3-4</t>
  </si>
  <si>
    <t>Ensure containers are restricted from acquiring new privileges</t>
  </si>
  <si>
    <t>By default you should restrict containers from acquiring additional privileges via suid or sgid.</t>
  </si>
  <si>
    <t>Ensure live restore is enabled</t>
  </si>
  <si>
    <t>The --live-restore option enables full support of daemon-less containers within Docker. It ensures that Docker does not stop containers on shutdown or restore and that it properly reconnects to the container when restarted.</t>
  </si>
  <si>
    <t>DOCK-1-7</t>
  </si>
  <si>
    <t>Ensure Userland Proxy is Disabled</t>
  </si>
  <si>
    <t>The Docker daemon starts a userland proxy service for port forwarding whenever a port is exposed. Where hairpin NAT is available, this service is generally superfluous to requirements and can be disabled.</t>
  </si>
  <si>
    <t>DOCK-2-4</t>
  </si>
  <si>
    <t>Ensure that a daemon-wide custom seccomp profile is applied if appropriate</t>
  </si>
  <si>
    <t>You can choose to apply a custom seccomp profile at a daemon-wide level if needed with this overriding Docker's default seccomp profile.</t>
  </si>
  <si>
    <t>MAN-4-2; CONT-3-5</t>
  </si>
  <si>
    <t>Ensure that experimental features are not implemented in production</t>
  </si>
  <si>
    <t>Experimental features should not be enabled in production.</t>
  </si>
  <si>
    <t>DOCK-1-4</t>
  </si>
  <si>
    <t>Docker Daemon Configuration Files</t>
  </si>
  <si>
    <t>Ensure that the docker.service file ownership is set to root:root</t>
  </si>
  <si>
    <t>You should verify that the docker.service file ownership and group ownership are correctly set to root.</t>
  </si>
  <si>
    <t>ORCH-2-5; ORCH-2-6; DOCK-2-5</t>
  </si>
  <si>
    <t>Ensure that docker.service file permissions are appropriately set</t>
  </si>
  <si>
    <t>You should verify that the docker.service file permissions are either set to 644 or to a more restrictive value.</t>
  </si>
  <si>
    <t>Ensure that docker.socket file ownership is set to root:root</t>
  </si>
  <si>
    <t>You should verify that the docker.socket file ownership and group ownership are correctly set to root.</t>
  </si>
  <si>
    <t>Ensure that docker.socket file permissions are set to 644 or more restrictive</t>
  </si>
  <si>
    <t>You should verify that the file permissions on the docker.socket file are correctly set to 644 or more restrictively.</t>
  </si>
  <si>
    <t>Ensure that the /etc/docker directory ownership is set to root:root</t>
  </si>
  <si>
    <t>You should verify that the /etc/docker directory ownership and group ownership is correctly set to root.</t>
  </si>
  <si>
    <t>Ensure that /etc/docker directory permissions are set to 755 or more restrictively</t>
  </si>
  <si>
    <t>You should verify that the /etc/docker directory permissions are correctly set to 755 or more restrictively.</t>
  </si>
  <si>
    <t>Ensure that registry certificate file ownership is set to root:root</t>
  </si>
  <si>
    <t>You should verify that all the registry certificate files (usually found under /etc/docker/certs.d/&lt;registry-name&gt; directory) are individually owned and group owned by root.</t>
  </si>
  <si>
    <t>3.8</t>
  </si>
  <si>
    <t>Ensure that registry certificate file permissions are set to 444 or more restrictively</t>
  </si>
  <si>
    <t>You should verify that all the registry certificate files (usually found under /etc/docker/certs.d/&lt;registry-name&gt; directory) have permissions of 444 or are set more restrictively.</t>
  </si>
  <si>
    <t>3.9</t>
  </si>
  <si>
    <t>Ensure that TLS CA certificate file ownership is set to root:root</t>
  </si>
  <si>
    <t>You should verify that the TLS CA certificate file (the file that is passed along with the --tlscacert parameter) is individually owned and group owned by root.</t>
  </si>
  <si>
    <t>3.10</t>
  </si>
  <si>
    <t>Ensure that TLS CA certificate file permissions are set to 444 or more restrictively</t>
  </si>
  <si>
    <t>You should verify that the TLS CA certificate file (the file that is passed along with the --tlscacert parameter) has permissions of 444 or is set more restrictively.</t>
  </si>
  <si>
    <t>3.11</t>
  </si>
  <si>
    <t>Ensure that Docker server certificate file ownership is set to root:root</t>
  </si>
  <si>
    <t>You should verify that the Docker server certificate file (the file that is passed along with the --tlscert parameter) is individual owned and group owned by root.</t>
  </si>
  <si>
    <t>3.12</t>
  </si>
  <si>
    <t>Ensure that the Docker server certificate file permissions are set to 444 or more restrictively</t>
  </si>
  <si>
    <t>You should verify that the Docker server certificate file (the file that is passed along with the --tlscert parameter) has permissions of 444 or more restrictive permissions.</t>
  </si>
  <si>
    <t>3.13</t>
  </si>
  <si>
    <t>Ensure that the Docker server certificate key file ownership is set to root:root</t>
  </si>
  <si>
    <t>You should verify that the Docker server certificate key file (the file that is passed along with the --tlskey parameter) is individually owned and group owned by root.</t>
  </si>
  <si>
    <t>3.14</t>
  </si>
  <si>
    <t>Ensure that the Docker server certificate key file permissions are set to 400</t>
  </si>
  <si>
    <t>You should verify that the Docker server certificate key file (the file that is passed along with the --tlskey parameter) has permissions of 400.</t>
  </si>
  <si>
    <t>3.15</t>
  </si>
  <si>
    <t>Ensure that the Docker socket file ownership is set to root:docker</t>
  </si>
  <si>
    <t>You should verify that the Docker socket file is owned by root and group owned by docker.</t>
  </si>
  <si>
    <t>3.16</t>
  </si>
  <si>
    <t>Ensure that the Docker socket file permissions are set to 660 or more restrictively</t>
  </si>
  <si>
    <t>You should verify that the Docker socket file has permissions of 660 or are configured more restrictively.</t>
  </si>
  <si>
    <t>3.17</t>
  </si>
  <si>
    <t>Ensure that the daemon.json file ownership is set to root:root</t>
  </si>
  <si>
    <t>You should verify that the daemon.json file individual ownership and group ownership is correctly set to root, if it is in use.</t>
  </si>
  <si>
    <t>3.18</t>
  </si>
  <si>
    <t>Ensure that daemon.json file permissions are set to 644 or more restrictive</t>
  </si>
  <si>
    <t>You should verify that if the daemon.json is present its file permissions are correctly set to 644 or more restrictively.</t>
  </si>
  <si>
    <t>3.19</t>
  </si>
  <si>
    <t>Ensure that the /etc/default/docker file ownership is set to root:root</t>
  </si>
  <si>
    <t>You should verify that the /etc/default/docker file ownership and group-ownership is correctly set to root.</t>
  </si>
  <si>
    <t>3.20</t>
  </si>
  <si>
    <t>Ensure that the /etc/default/docker file permissions are set to 644 or more restrictively</t>
  </si>
  <si>
    <t>You should verify that the /etc/default/docker file permissions are correctly set to 644 or more restrictively.</t>
  </si>
  <si>
    <t>3.21</t>
  </si>
  <si>
    <t>Ensure that the /etc/sysconfig/docker file permissions are set to 644 or more restrictively</t>
  </si>
  <si>
    <t>You should verify that the /etc/sysconfig/docker file permissions are correctly set to 644 or more restrictively.</t>
  </si>
  <si>
    <t>3.22</t>
  </si>
  <si>
    <t>Ensure that the /etc/sysconfig/docker file ownership is set to root:root</t>
  </si>
  <si>
    <t>You should verify that the /etc/sysconfig/docker file individual ownership and group ownership is correctly set to root.</t>
  </si>
  <si>
    <t>3.23</t>
  </si>
  <si>
    <t>Ensure that the Containerd socket file ownership is set to root:root</t>
  </si>
  <si>
    <t>You should verify that the Containerd socket file is owned by root and group owned by root.</t>
  </si>
  <si>
    <t>3.24</t>
  </si>
  <si>
    <t>Ensure that the Containerd socket file permissions are set to 660 or more restrictively</t>
  </si>
  <si>
    <t>You should verify that the Containerd socket file has permissions of 660 or are configured more restrictively.</t>
  </si>
  <si>
    <t>Container Images and Build File Configuration</t>
  </si>
  <si>
    <t>Ensure that a user for the container has been created</t>
  </si>
  <si>
    <t>Containers should run as a non-root user.</t>
  </si>
  <si>
    <t>Ensure that containers use only trusted base images</t>
  </si>
  <si>
    <t>You should ensure that container images you use are either written from scratch or are based on another established and trusted base image downloaded over a secure channel.</t>
  </si>
  <si>
    <t>4.3</t>
  </si>
  <si>
    <t>Ensure that unnecessary packages are not installed in the container</t>
  </si>
  <si>
    <t>Containers should have as small a footprint as possible, and should not contain unnecessary software packages which could increase their attack surface.</t>
  </si>
  <si>
    <t>IMG-1-4; IMG-4-1</t>
  </si>
  <si>
    <t>Ensure images are scanned and rebuilt to include security patches</t>
  </si>
  <si>
    <t>Images should be scanned frequently for any vulnerabilities. You should rebuild all images to include these patches and then instantiate new containers from them.</t>
  </si>
  <si>
    <t>IMG-1-3; IMG-1-5; IMG-2-1; IMG-2-2; IMG-3-2; IMG-3-4</t>
  </si>
  <si>
    <t>4.5</t>
  </si>
  <si>
    <t>Ensure Content trust for Docker is Enabled</t>
  </si>
  <si>
    <t>Content trust is disabled by default and should be enabled in line with organizational security policy.</t>
  </si>
  <si>
    <t>4.6</t>
  </si>
  <si>
    <t>Ensure that HEALTHCHECK instructions have been added to container images</t>
  </si>
  <si>
    <t>You should add the HEALTHCHECK instruction to your Docker container images in order to ensure that health checks are executed against running containers.</t>
  </si>
  <si>
    <t>4.7</t>
  </si>
  <si>
    <t>Ensure update instructions are not used alone in Dockerfiles</t>
  </si>
  <si>
    <t>You should not use OS package manager update instructions such as apt-get updateor yum update either alone or in a single line in any Dockerfiles used to generate images under review.</t>
  </si>
  <si>
    <t>IMG-1-4; IMG-3-2</t>
  </si>
  <si>
    <t>4.8</t>
  </si>
  <si>
    <t>Ensure setuid and setgid permissions are removed</t>
  </si>
  <si>
    <t>Removing setuid and setgid permissions in the images can prevent privilege escalation attacks within containers.</t>
  </si>
  <si>
    <t>4.9</t>
  </si>
  <si>
    <t>Ensure that COPY is used instead of ADD in Dockerfiles</t>
  </si>
  <si>
    <t>You should use the COPY instruction instead of the ADD instruction in the Dockerfile.</t>
  </si>
  <si>
    <t>Ensure secrets are not stored in Dockerfiles</t>
  </si>
  <si>
    <t>Do not store any secrets in Dockerfiles.</t>
  </si>
  <si>
    <t>IMG-1-1; MAN-1-1</t>
  </si>
  <si>
    <t>4.11</t>
  </si>
  <si>
    <t>Ensure only verified packages are installed</t>
  </si>
  <si>
    <t>You should verify the authenticity of packages before installing them into images.</t>
  </si>
  <si>
    <t>IMG-1-4; IMG-2-1</t>
  </si>
  <si>
    <t>4.12</t>
  </si>
  <si>
    <t>Ensure all signed artifacts are validated</t>
  </si>
  <si>
    <t>Validate artifacts signatures before uploading to the package registry.</t>
  </si>
  <si>
    <t>Container Runtime Configuration</t>
  </si>
  <si>
    <t>Ensure swarm mode is not Enabled, if not needed</t>
  </si>
  <si>
    <t>Do not enable swarm mode on a Docker engine instance unless this is needed.</t>
  </si>
  <si>
    <t>Ensure that, if applicable, an AppArmor Profile is enabled</t>
  </si>
  <si>
    <t>AppArmor is an effective and easy-to-use Linux application security system. It is available on some Linux distributions by default, for example, on Debian and Ubuntu.</t>
  </si>
  <si>
    <t>Ensure that, if applicable, SELinux security options are set</t>
  </si>
  <si>
    <t>SELinux is an effective and easy-to-use Linux application security system. It is available by default on some distributions such as Red Hat and Fedora.</t>
  </si>
  <si>
    <t>Ensure that Linux kernel capabilities are restricted within containers</t>
  </si>
  <si>
    <t>By default, Docker starts containers with a restricted set of Linux kernel capabilities. This means that any process can be granted the required capabilities instead of giving it root access. Using Linux kernel capabilities, processes in general do not need to run as the root user.</t>
  </si>
  <si>
    <t>Ensure that privileged containers are not used</t>
  </si>
  <si>
    <t>Using the --privileged flag provides all Linux kernel capabilities to the container to which it is applied and therefore overwrites the --cap-add and --cap-drop flags. For this reason you should ensure that it is not used.</t>
  </si>
  <si>
    <t>MAN-1-2; MAN-1-4; MAN-3-2</t>
  </si>
  <si>
    <t>Ensure sensitive host system directories are not mounted on containers</t>
  </si>
  <si>
    <t>You should not allow sensitive host system directories such as those listed below to be mounted as container volumes, especially in read-write mode.
/
/boot
/dev
/etc
/lib
/lib64
/proc
/sys
/usr</t>
  </si>
  <si>
    <t>Ensure sshd is not run within containers</t>
  </si>
  <si>
    <t>The SSH daemon should not be running within the container. You should SSH into the Docker host, and use docker exec to enter a container.</t>
  </si>
  <si>
    <t>5.8</t>
  </si>
  <si>
    <t>Ensure privileged ports are not mapped within containers</t>
  </si>
  <si>
    <t>The TCP/IP port numbers below 1024 are considered privileged ports. Normal users and processes are not allowed to use them for various security reasons. Docker does, however allow a container port to be mapped to a privileged port.</t>
  </si>
  <si>
    <t>5.9</t>
  </si>
  <si>
    <t>Ensure that only needed ports are open on the container</t>
  </si>
  <si>
    <t>The dockerfile for a container image defines the ports which are opened by default on a container instance. The list of ports are relevant to the application you are running within the container and should only be open if they are needed.</t>
  </si>
  <si>
    <t>Ensure that the host's network namespace is not shared</t>
  </si>
  <si>
    <t>When the networking mode on a container is set to --net=host, the container is not placed inside a separate network stack. Effectively, applying this option instructs Docker to not containerize the container's networking. The consequence of this is that the container lives "outside" in the main Docker host and has full access to its network interfaces.</t>
  </si>
  <si>
    <t>DOCK-4-4; MAN-1-3</t>
  </si>
  <si>
    <t>5.11</t>
  </si>
  <si>
    <t>Ensure that the memory usage for containers is limited</t>
  </si>
  <si>
    <t>By default, all containers on a Docker host share resources equally. By using the resource management capabilities of the Docker host, you can control the amount of memory that a container is able to use.</t>
  </si>
  <si>
    <t>5.12</t>
  </si>
  <si>
    <t>Ensure that CPU priority is set appropriately on containers</t>
  </si>
  <si>
    <t>By default, all containers on a Docker host share resources equally. By using the resource management capabilities of the Docker host you can control the host CPU resources that a container may consume.</t>
  </si>
  <si>
    <t>Ensure that the container's root filesystem is mounted as read only</t>
  </si>
  <si>
    <t>The container's root filesystem should be treated as a 'golden image' by using Docker run's --read-only option. This prevents any writes to the container's root filesystem at container runtime and enforces the principle of immutable infrastructure.</t>
  </si>
  <si>
    <t>MAN-2-2; MAN-3-3</t>
  </si>
  <si>
    <t>5.14</t>
  </si>
  <si>
    <t>Ensure that incoming container traffic is bound to a specific host interface</t>
  </si>
  <si>
    <t>By default, Docker containers can make connections to the outside world, but the outside world cannot connect to containers and each outgoing connection will appear to originate from one of the host machine's own IP addresses. You should only allow container services to be contacted through a specific external interface on the host machine.</t>
  </si>
  <si>
    <t>5.15</t>
  </si>
  <si>
    <t>Ensure that the 'on-failure' container restart policy is set to '5'</t>
  </si>
  <si>
    <t>By using the --restart flag in the docker run command you can specify a restart policy for how a container should or should not be restarted on exit. You should choose the on-failure restart policy and limit the restart attempts to 5.</t>
  </si>
  <si>
    <t>Ensure that the host's process namespace is not shared</t>
  </si>
  <si>
    <t>The Process ID (PID) namespace isolates the process ID space, meaning that processes in different PID namespaces can have the same PID. This creates process level isolation between the containers and the host.</t>
  </si>
  <si>
    <t>Ensure that the host's IPC namespace is not shared</t>
  </si>
  <si>
    <t>IPC (POSIX/SysV IPC) namespace provides separation of named shared memory segments, semaphores and message queues. The IPC namespace on the host should therefore not be shared with containers and should remain isolated.</t>
  </si>
  <si>
    <t>5.18</t>
  </si>
  <si>
    <t>Ensure that host devices are not directly exposed to containers</t>
  </si>
  <si>
    <t>Host devices can be directly exposed to containers at runtime. Do not directly expose host devices to containers, especially to containers that are not trusted.</t>
  </si>
  <si>
    <t>5.19</t>
  </si>
  <si>
    <t>Ensure that the default ulimit is overwritten at runtime if needed</t>
  </si>
  <si>
    <t>The default ulimit is set at the Docker daemon level. However, if you need to, you may override the default ulimit setting during container runtime.</t>
  </si>
  <si>
    <t>5.20</t>
  </si>
  <si>
    <t>Ensure mount propagation mode is not set to shared</t>
  </si>
  <si>
    <t>Mount propagation mode allows mounting volumes in shared, slave or private mode on a container. Do not use shared mount propagation mode unless explicitly needed.</t>
  </si>
  <si>
    <t>Ensure that the host's UTS namespace is not shared</t>
  </si>
  <si>
    <t>UTS namespaces provide isolation between two system identifiers: the hostname and the NIS domain name. It is used to set the hostname and the domain which are visible to running processes in that namespace. Processes running within containers do not typically require to know either the hostname or the domain name. The UTS namespace should therefore not be shared with the host.</t>
  </si>
  <si>
    <t>Ensure the default seccomp profile is not Disabled</t>
  </si>
  <si>
    <t>Seccomp filtering provides a means for a process to specify a filter for incoming system calls. The default Docker seccomp profile works on a whitelist basis and allows for a large number of common system calls, whilst blocking all others. This filtering should not be disabled unless it causes a problem with your container application usage.</t>
  </si>
  <si>
    <t>5.23</t>
  </si>
  <si>
    <t>Ensure that docker exec commands are not used with the privileged option</t>
  </si>
  <si>
    <t>You should not use docker exec with the --privileged option.</t>
  </si>
  <si>
    <t>5.24</t>
  </si>
  <si>
    <t>Ensure that docker exec commands are not used with the user=root option</t>
  </si>
  <si>
    <t>You should not use docker exec with the --user=root option.</t>
  </si>
  <si>
    <t>5.25</t>
  </si>
  <si>
    <t>Ensure that cgroup usage is confirmed</t>
  </si>
  <si>
    <t>It is possible to attach to a particular cgroup when a container is instantiated. Confirming cgroup usage would ensure that containers are running in defined cgroups.</t>
  </si>
  <si>
    <t>DOCK-4-5</t>
  </si>
  <si>
    <t>5.26</t>
  </si>
  <si>
    <t>Ensure that the container is restricted from acquiring additional privileges</t>
  </si>
  <si>
    <t>You should restrict the container from acquiring additional privileges via suid or sgid bits.</t>
  </si>
  <si>
    <t>MAN-1-4; MAN-3-2</t>
  </si>
  <si>
    <t>5.27</t>
  </si>
  <si>
    <t>Ensure that container health is checked at runtime</t>
  </si>
  <si>
    <t>If the container image does not have an HEALTHCHECK instruction defined, you should use the --health-cmd parameter at container runtime to check container health.</t>
  </si>
  <si>
    <t>ORCH-3-5; DOCK-3-4; MAN-2-1</t>
  </si>
  <si>
    <t>Ensure that Docker commands always make use of the latest version of their image</t>
  </si>
  <si>
    <t>You should always ensure that you are using the latest version of the images within your repository and not cached older versions.</t>
  </si>
  <si>
    <t>5.29</t>
  </si>
  <si>
    <t>Ensure that the PIDs cgroup limit is used</t>
  </si>
  <si>
    <t>You should use the --pids-limit flag at container runtime.</t>
  </si>
  <si>
    <t>5.30</t>
  </si>
  <si>
    <t>Ensure that Docker's default bridge "docker0" is not used</t>
  </si>
  <si>
    <t>You should not use Docker's default bridge docker0. Instead you should use Docker's user-defined networks for container networking.</t>
  </si>
  <si>
    <t>5.31</t>
  </si>
  <si>
    <t>Ensure that the host's user namespaces are not shared</t>
  </si>
  <si>
    <t>You should not share the host's user namespaces with containers running on it.</t>
  </si>
  <si>
    <t>5.32</t>
  </si>
  <si>
    <t>Ensure that the Docker socket is not mounted inside any containers</t>
  </si>
  <si>
    <t>The Docker socket docker.sock should not be mounted inside a container.</t>
  </si>
  <si>
    <t>Docker Security Operations</t>
  </si>
  <si>
    <t>Ensure that image sprawl is avoided</t>
  </si>
  <si>
    <t>You should not keep a large number of container images on the same host. Use only tagged images as appropriate.</t>
  </si>
  <si>
    <t>DOCK-2-8</t>
  </si>
  <si>
    <t>6.2</t>
  </si>
  <si>
    <t>Ensure that container sprawl is avoided</t>
  </si>
  <si>
    <t>You should not keep a large number of containers on the same host.</t>
  </si>
  <si>
    <t>ORCH-3-5; DOCK-3-4</t>
  </si>
  <si>
    <t>Docker Swarm Configuration</t>
  </si>
  <si>
    <t>Ensure that the minimum number of manager nodes have been created in a swarm</t>
  </si>
  <si>
    <t>You should ensure that the minimum number of required manager nodes is created in a swarm.</t>
  </si>
  <si>
    <t>DOCK-1-8</t>
  </si>
  <si>
    <t>Ensure that swarm services are bound to a specific host interface</t>
  </si>
  <si>
    <t>By default, Docker swarm services will listen on all interfaces on the host. This may not be necessary for the operation of the swarm where the host has multiple network interfaces.</t>
  </si>
  <si>
    <t>DOCK-2-13</t>
  </si>
  <si>
    <t>Ensure that all Docker swarm overlay networks are encrypted</t>
  </si>
  <si>
    <t>Ensure that all Docker swarm overlay networks are encrypted.</t>
  </si>
  <si>
    <t>ORCH-1-5; DOCK-2-14</t>
  </si>
  <si>
    <t>Ensure that Docker's secret management commands are used for managing secrets in a swarm cluster</t>
  </si>
  <si>
    <t>You should use Docker's in-built secret management command for control of secrets.</t>
  </si>
  <si>
    <t>ORCH-3-6; DOCK-3-8</t>
  </si>
  <si>
    <t>Ensure that swarm manager is run in auto-lock mode</t>
  </si>
  <si>
    <t>You should review whether you wish to run Docker swarm manager in auto-lock mode.</t>
  </si>
  <si>
    <t>DOCK-4-6</t>
  </si>
  <si>
    <t>Ensure that the swarm manager auto-lock key is rotated periodically</t>
  </si>
  <si>
    <t>You should rotate the swarm manager auto-lock key periodically.</t>
  </si>
  <si>
    <t>DOCK-4-7</t>
  </si>
  <si>
    <t>Ensure that node certificates are rotated as appropriate</t>
  </si>
  <si>
    <t>You should rotate swarm node certificates in line with your organizational security policy.</t>
  </si>
  <si>
    <t>DOCK-2-15</t>
  </si>
  <si>
    <t>Ensure that CA certificates are rotated as appropriate</t>
  </si>
  <si>
    <t>You should rotate root CA certificates as appropriate.</t>
  </si>
  <si>
    <t>DOCK-3-9</t>
  </si>
  <si>
    <t>Ensure that management plane traffic is separated from data plane traffic</t>
  </si>
  <si>
    <t>You should separate management plane traffic from data plane traffic.</t>
  </si>
  <si>
    <t>DOCK-2-12</t>
  </si>
  <si>
    <t>№ пункта Приказа</t>
  </si>
  <si>
    <t>JCSF ID</t>
  </si>
  <si>
    <t>JCSF Требование</t>
  </si>
  <si>
    <t>К изоляции контейнеров средством контейнеризации предъявляются
следующие требования</t>
  </si>
  <si>
    <t>Средство контейнеризации 6 класса защиты должно реализовывать механизмы изоляции контейнеров. Способы реализации изоляции контейнеров устанавливаются разработчиком средства контейнеризации.</t>
  </si>
  <si>
    <t>Средство контейнеризации 5 и 4 классов защиты наряду с требованиями, установленными подпунктом 9.1 пункта 9 настоящих Требований, дополнительно должно реализовывать следующие механизмы:
- изоляция пространств идентификаторов процессов контейнеров; 
- изоляция пространств имен для межпроцессного взаимодействия
- контейнеров;
- изоляция пространств имен для пользователей и групп контейнеров;
- изоляция пространств имен хостов и доменов контейнеров;
- изоляция сетевых пространств имен контейнеров;
- изоляция пространств имен для иерархии каталогов контейнеров.</t>
  </si>
  <si>
    <t>К выявлению уязвимостей в образах контейнеров предъявляются
следующие требования:</t>
  </si>
  <si>
    <t>Средство контейнеризации 6 класса защиты должно:
- выявлять известные уязвимости при создании, установке образа контейнера в информационной (автоматизированной) системе и хранении образов контейнеров во взаимодействии с сертифицированным средством контроля и анализа защищенности на основе сведений, содержащихся в банке данных угроз безопасности информации, ведение которого осуществляется ФСТЭК России в соответствии с подпунктом 21 пункта 8 Положения о Федеральной службе по техническому и экспортному контролю,  утвержденного Указом Президента Российской Федерации от 16 августа 2004 г.№ 1085 (Собрание законодательства Российской Федерации, 2004, № 34, ст.3541), а также в иных источниках, содержащих сведения об известных уязвимостях;
- оповещать о выявленных уязвимостях в образах контейнеров разработчика образов контейнеров и администратора безопасности информационной (автоматизированной) системы.
Средство контейнеризации 6 класса защиты должно осуществлять выявление известных уязвимостей образов контейнеров не реже одного раза в месяц.</t>
  </si>
  <si>
    <t>Средство контейнеризации 5 и 4 классов защиты наряду с требованиями, установленными подпунктом 10.1 пункта 10 настоящих Требований, должно запрещать создание образов контейнеров, содержащих известные уязвимости критического и высокого уровня опасности.
Средство контейнеризации 5 и 4 классов защиты должно осуществлять выявление известных уязвимостей образов контейнеров не реже одного раза в неделю.</t>
  </si>
  <si>
    <t xml:space="preserve">К проверке корректности конфигурации контейнеров в средстве
контейнеризации предъявляются следующие требования: </t>
  </si>
  <si>
    <t>Средство контейнеризации 6, 5 и 4 классов защиты должно обеспечивать:
- ограничение прав прикладного программного обеспечения,
- выполняемого внутри контейнера, на использование периферийных устройств, устройств хранения данных и съемных машинных носителей информации (блочных устройств), входящих в состав информационной (автоматизированной) системы;
- ограничение прав прикладного программного обеспечения, выполняемого внутри контейнера, на использование вычислительных ресурсов (оперативной памяти, операций ввода-вывода за период времени) хостовой операционной системы;
- монтирование корневой файловой системы хостовой операционной системы в режиме «только для чтения».</t>
  </si>
  <si>
    <t>К контролю целостности контейнеров и их образов в средстве
контейнеризации предъявляются следующие требования:</t>
  </si>
  <si>
    <t>12.1</t>
  </si>
  <si>
    <t>Средство контейнеризации 6 класса защиты должно:
- контролировать самостоятельно или с применением средств контроля целостности хостовой операционной системы и иных сертифицированных средств защиты информации целостность образов контейнеров и исполняемых файлов контейнеров;
- информировать администратора информационной (автоматизированной) системы и администратора безопасности средства контейнеризации о нарушении целостности объектов контроля.</t>
  </si>
  <si>
    <t>Средство контейнеризации 5 класса защиты наряду с требованиями, установленными подпунктом 12.1 пункта 12 настоящих Требований, должно контролировать целостность параметров настройки средства контейнеризации.</t>
  </si>
  <si>
    <t>Нет контроля целостности для конфигурационных файлов k8S</t>
  </si>
  <si>
    <t>12.3</t>
  </si>
  <si>
    <t>Средство контейнеризации 4 класса защиты наряду с требованиями, установленными подпунктами 12.1 и 12.2 пункта 12 настоящих Требований, должно:
- контролировать целостность сведений о событиях безопасности самостоятельно или во взаимодействии с хостовой операционной системой и иными сертифицированными средствами защиты информации;
- контролировать целостность образов контейнеров и параметров настройки средства контейнеризации при установке образа контейнера в информационной (автоматизированной) системе и далее периодически за счет применения цифровой подписи самостоятельно или во взаимодействии с хостовой операционной системой и иными сертифицированными средствами защиты информации;
- блокировать запуск образа контейнера при нарушении его целостности.</t>
  </si>
  <si>
    <t>К регистрации событий безопасности в средстве контейнеризации
предъявляются следующие требования:</t>
  </si>
  <si>
    <t>Средство контейнеризации 6 класса защиты должно:
- регистрировать события, относящиеся к инцидентам безопасности средства контейнеризации, связанные с попытками осуществления несанкционированного доступа к средству контейнеризации;
- оповещать администратора безопасности средства контейнеризации и администратора информационной (автоматизированной) системы об инцидентах безопасности;
- выполнять действия, являющиеся реакцией на инциденты безопасности;
- осуществлять сбор и хранение записей в журнале событий безопасности, которые позволяют определить, когда и какие действия происходили.
Регистрация событий безопасности в средстве контейнеризации должна осуществляться с учетом требований разделов 5-6 ГОСТ Р 59548-2022 «Защита информации. Регистрация событий безопасности. Требования к регистрируемой информации».
Для каждой функции безопасности в средстве контейнеризации должен быть определен перечень событий, необходимых для регистрации и учета.
Для регистрируемых событий безопасности в каждой записи журнала событий безопасности должны указываться номер (уникальный идентификатор) события, дата, время, тип события безопасности.
Записи журнала событий безопасности должны представляться в структурированном виде и содержать информацию о времени события
безопасности, взятую из хостовой операционной системы.
Средство контейнеризации должно осуществлять запись событий безопасности контейнеров в журнал событий безопасности информационной (автоматизированной) системы с указанием идентификатора контейнера.
Журнал событий безопасности средства контейнеризации должен быть доступен только для чтения. При исчерпании области памяти, отведенной под журнал событий безопасности средства контейнеризации, средство контейнеризации должно осуществлять архивирование журнала с последующей очисткой указанного журнала. 
Регистрации подлежат как минимум следующие события безопасности:
-неуспешные попытки аутентификации пользователей средства контейнеризации;
- создание, модификация и удаление образов контейнеров;
- получение доступа к образам контейнеров;
- запуск и остановка контейнеров с указанием причины остановки.
- изменение ролевой модели;
- модификация запускаемых контейнеров.</t>
  </si>
  <si>
    <t>13.2</t>
  </si>
  <si>
    <t>Средство контейнеризации 5 класса защиты наряду с требованиями, установленными подпунктом 13.1 пункта 13 настоящих Требований, должно регистрировать следующие события безопасности:
- выявление известных уязвимостей в образах контейнеров и некорректности конфигурации;
- факты нарушения целостности объектов контроля.
Для каждого события безопасности должны регистрироваться:
- описание события безопасности;
- сведения о критичности события безопасности.</t>
  </si>
  <si>
    <t>13.3</t>
  </si>
  <si>
    <t>Средство контейнеризации 4 класса защиты наряду с требованиями, установленными подпунктами 13.1 и 13.2 пункта 13 настоящих Требований, должно обеспечивать запись событий безопасности контейнеров в журнал событий безопасности информационной (автоматизированной) системы с указанием идентификатора пользователя хостовой операционной системы, от имени которого был запущен контейнер.</t>
  </si>
  <si>
    <t>В средстве контейнеризации 6, 5 и 4 классов защиты должен быть
реализован ролевой метод управления доступом с тремя ролями пользователей:
разработчик образов контейнеров;
администратор безопасности средства контейнеризации;
администратор информационной (автоматизированной) системы.</t>
  </si>
  <si>
    <t>14.1</t>
  </si>
  <si>
    <t>Роль разработчика образов контейнеров должна позволять:
-менять установленный администратором безопасности средства контейнеризации для разработчика пароль;
- создавать, модифицировать и удалять образы контейнеров.</t>
  </si>
  <si>
    <t>14.2</t>
  </si>
  <si>
    <t>Роль администратора информационной (автоматизированной) системы должна позволять:
- менять установленный администратором безопасности средства контейнеризации для администратора информационной (автоматизированной) системы пароль;
- запускать и останавливать контейнеры.</t>
  </si>
  <si>
    <t>14.3</t>
  </si>
  <si>
    <t>Роль администратора безопасности средства контейнеризации должна позволять:
- назначать права доступа пользователям средства контейнеризации к образам контейнеров;
- создавать учетные записи пользователей средства контейнеризации;
- управлять учетными записями пользователей средства контейнеризации;
- иметь доступ на чтение к журналу событий безопасности средства контейнеризации;
- формировать отчеты с учетом заданных критериев отбора, выгрузку (экспорт) данных из журнала событий безопасности средства контейнеризации.</t>
  </si>
  <si>
    <t xml:space="preserve">К идентификации и аутентификации пользователей в средстве
контейнеризации предъявляются следующие требования:
</t>
  </si>
  <si>
    <t>Первичная идентификация пользователей средства контейнеризации 6 класса защиты должна осуществляться администратором безопасности средства контейнеризации.
Идентификация и аутентификация пользователей в средстве контейнеризации осуществляется с учетом требований разделов 4-7 ГОСТ Р 58833-2020 «Защита информации. Идентификация и аутентификация. Общие положения».
Средство контейнеризации должно осуществлять аутентификацию пользователей при предъявлении пароля пользователя.
Пароль пользователя должен устанавливаться администратором безопасности средства контейнеризации.
Средство контейнеризации должно обеспечивать возможность смены установленного администратором безопасности средства контейнеризации пароля пользователя после его первичной аутентификации.
При попытке ввода неправильного значения пароля пользователя должно выводиться соответствующее сообщение с приглашением ввести правильный  пароль еще раз.
При исчерпании установленного максимального количества неуспешных попыток ввода неправильного пароля учетная запись пользователя средства контейнеризации должна быть заблокирована средством контейнеризации с возможностью разблокировки администратором безопасности средства контейнеризации.
Защита пароля пользователя должна обеспечиваться при его вводе за счет отображения вводимых символов условными знаками.
Пароль пользователя средства контейнеризации 6 класса защиты должен содержать не менее 6 символов при алфавите пароля не менее 60 символов.
Максимальное количество неуспешных попыток аутентификации (ввода неправильного пароля) до блокировки – 10.
Средство контейнеризации должно обеспечивать хранение аутентификационной информации пользователя средства контейнеризации в защищенном формате или в защищенном хранилище.</t>
  </si>
  <si>
    <t>15.2</t>
  </si>
  <si>
    <t>Пароль пользователя средства контейнеризации 5 класса защиты должен содержать не менее 6 символов при алфавите пароля не менее  70 символов. Максимальное количество неуспешных попыток аутентификации (ввода неправильного пароля) до блокировки – 8.</t>
  </si>
  <si>
    <t>15.3</t>
  </si>
  <si>
    <t>Средство контейнеризации 4 класса защиты наряду с требованиями, установленными подпунктом 15.1 пункта 15 не должно запускать процессы в хостовой операционной системе, обладающие привилегиями администратора информационной (автоматизированной) системы и администратора безопасности информационной (автоматизированной) системы.
Пароль пользователя средства контейнеризации 4 класса защиты должен содержать не менее 8 символов при алфавите пароля не менее 70 символов. Максимальное количество неуспешных попыток аутентификаци (ввода неправильного пароля) до блокировки – 4.</t>
  </si>
  <si>
    <t>К централизованному управлению образами контейнеров и
контейнерами в средстве контейнеризации предъявляются следующие
требования:</t>
  </si>
  <si>
    <t>16.1</t>
  </si>
  <si>
    <t>Средство контейнеризации 6 класса защиты должно:
- создавать, модифицировать, хранить, получать и удалять образы контейнеров в информационной (автоматизированной) системе;
- обновлять образы контейнеров;
- обеспечивать чтение, удаление записей о событиях безопасности, формирование отчетов с учетом заданных критериев отбора, выгрузку (экспорт) данных из журнала событий безопасности средства контейнеризации.</t>
  </si>
  <si>
    <t>Средство контейнеризации 5 и 4 классов защиты наряду с требованиями, установленными подпунктом 16.1 пункта 16 настоящих
Требований, должно:
- анализировать возникающие события безопасности в целях выявления инцидентов безопасности;
- оповещать администратора безопасности средства контейнеризации о событиях безопасности;
- формировать отчеты</t>
  </si>
  <si>
    <t>Ensure cramfs kernel module is not available</t>
  </si>
  <si>
    <t>1.1.1.1</t>
  </si>
  <si>
    <t>1.1.1.2</t>
  </si>
  <si>
    <t>1.1.1.3</t>
  </si>
  <si>
    <t>1.1.1.4</t>
  </si>
  <si>
    <t>1.1.1.5</t>
  </si>
  <si>
    <t>1.1.1.6</t>
  </si>
  <si>
    <t>1.1.1.7</t>
  </si>
  <si>
    <t>1.1.1.8</t>
  </si>
  <si>
    <t>1.1.1.9</t>
  </si>
  <si>
    <t>1.1.1.10</t>
  </si>
  <si>
    <t>1.1.1.11</t>
  </si>
  <si>
    <t>Ensure freevxfs kernel module is not available</t>
  </si>
  <si>
    <t>Ensure hfs kernel module is not available</t>
  </si>
  <si>
    <t>Ensure hfsplus kernel module is not available</t>
  </si>
  <si>
    <t>Ensure jffs2 kernel module is not available</t>
  </si>
  <si>
    <t>Ensure overlay kernel module is not available</t>
  </si>
  <si>
    <t>Ensure squashfs kernel module is not available</t>
  </si>
  <si>
    <t>Ensure udf kernel module is not available</t>
  </si>
  <si>
    <t>Ensure firewire-core kernel module is not available</t>
  </si>
  <si>
    <t>Disabling FireWire protects the system against exploitation of any flaws in its implementation</t>
  </si>
  <si>
    <t>Removing support for unneeded filesystem types reduces the local attack surface of the system. If this filesystem type is not needed, disable it</t>
  </si>
  <si>
    <t>Disabling the overlay kernel module reduces the local attack surface by removing support for unnecessary filesystem types and mitigates potential risks associated with unauthorized execution of setuid files, enhancing the overall system security</t>
  </si>
  <si>
    <t>Ensure usb-storage kernel module is not available</t>
  </si>
  <si>
    <t>Restricting USB access on the system will decrease the physical attack surface for a device and diminish the possible vectors to introduce malware</t>
  </si>
  <si>
    <t>Ensure unused filesystems kernel modules are not available</t>
  </si>
  <si>
    <t>Ensure /tmp is tmpfs or a separate partition</t>
  </si>
  <si>
    <t>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t>
  </si>
  <si>
    <t>1.1.2.1.1</t>
  </si>
  <si>
    <t>1.1.2.1.2</t>
  </si>
  <si>
    <t>1.1.2.1.3</t>
  </si>
  <si>
    <t>1.1.2.1.4</t>
  </si>
  <si>
    <t>Ensure nodev option set on /tmp partition</t>
  </si>
  <si>
    <t>Since the /tmp filesystem is not intended to support devices, set this option to ensure that users cannot create a block or character special devices in /tmp</t>
  </si>
  <si>
    <t>Since the /tmp filesystem is only intended for temporary file storage, set this option to ensure that users cannot create setuid files in /tmp</t>
  </si>
  <si>
    <t>Ensure nosuid option set on /tmp partition</t>
  </si>
  <si>
    <t>Ensure noexec option set on /tmp partition</t>
  </si>
  <si>
    <t>Since the /tmp filesystem is only intended for temporary file storage, set this option to ensure that users cannot run executable binaries from /tmp</t>
  </si>
  <si>
    <t>Making /dev/shm its own file system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t>
  </si>
  <si>
    <t>Ensure /dev/shm is tmpfs or a separate partition</t>
  </si>
  <si>
    <t>1.1.2.2.1</t>
  </si>
  <si>
    <t>1.1.2.2.2</t>
  </si>
  <si>
    <t>1.1.2.2.3</t>
  </si>
  <si>
    <t>1.1.2.2.4</t>
  </si>
  <si>
    <t>Since the /dev/shm filesystem is not intended to support devices, set this option to ensure that users cannot attempt to create special devices in /dev/shm partitions</t>
  </si>
  <si>
    <t>Setting this option on a file system prevents users from introducing privileged programs onto the system and allowing non-root users to execute them</t>
  </si>
  <si>
    <t>Setting this option on a file system prevents users from executing programs from shared memory. This deters users from introducing potentially malicious software on the system</t>
  </si>
  <si>
    <t>Ensure noexec option set on /dev/shm partition</t>
  </si>
  <si>
    <t>Ensure nodev option set on /dev/shm partition</t>
  </si>
  <si>
    <t>Ensure nosuid option set on /dev/shm partition</t>
  </si>
  <si>
    <t>Ensure separate partition exists for /home</t>
  </si>
  <si>
    <t>1.1.2.3.1</t>
  </si>
  <si>
    <t>1.1.2.3.2</t>
  </si>
  <si>
    <t>1.1.2.3.3</t>
  </si>
  <si>
    <t>As /home contains user data, care should be taken to ensure the security and integrity of the data and mount point</t>
  </si>
  <si>
    <t>Ensure nodev option set on /home partition</t>
  </si>
  <si>
    <t>Since the /home filesystem is not intended to support devices, set this option to ensure that users cannot create a block or character special devices in /home</t>
  </si>
  <si>
    <t>Ensure nosuid option set on /home partition</t>
  </si>
  <si>
    <t>Since the /home filesystem is only intended for user file storage, set this option to ensure that users cannot create setuid files in /home</t>
  </si>
  <si>
    <t>Ensure separate partition exists for /var</t>
  </si>
  <si>
    <t>Since the /var directory may contain world writable files and directories, there is a risk of resource exhaustion. It will essentially have the whole disk available to fill up and impact the system. In addition, other operations on the system could fill up the disk unrelated to /var and cause unintended behavior across the system as the disk is full</t>
  </si>
  <si>
    <t>1.1.2.4.1</t>
  </si>
  <si>
    <t>1.1.2.4.2</t>
  </si>
  <si>
    <t>1.1.2.4.3</t>
  </si>
  <si>
    <t>Ensure nodev option set on /var partition</t>
  </si>
  <si>
    <t>Since the /var filesystem is not intended to support devices, set this option to ensure that users cannot create a block or character special devices in /var</t>
  </si>
  <si>
    <t>Ensure nosuid option set on /var partition</t>
  </si>
  <si>
    <t>Since the /var filesystem is only intended for variable files such as logs, set this option to ensure that users cannot create setuid files in /var</t>
  </si>
  <si>
    <t>Ensure separate partition exists for /var/tmp</t>
  </si>
  <si>
    <t>1.1.2.5.1</t>
  </si>
  <si>
    <t>1.1.2.5.2</t>
  </si>
  <si>
    <t>1.1.2.5.3</t>
  </si>
  <si>
    <t>1.1.2.5.4</t>
  </si>
  <si>
    <t>Since the /var/tmp directory is world-writable, there is a risk of resource exhaustion. In addition, other operations on the system could fill up the disk unrelated to /var/tmp and cause potential disruption to daemons as the disk is full</t>
  </si>
  <si>
    <t>Ensure nodev option set on /var/tmp partition</t>
  </si>
  <si>
    <t>Since the /var/tmp filesystem is not intended to support devices, set this option to ensure that users cannot create a block or character special devices in /var/tmp</t>
  </si>
  <si>
    <t>Ensure nosuid option set on /var/tmp partition</t>
  </si>
  <si>
    <t>Since the /var/tmp filesystem is only intended for temporary file storage, set this option to ensure that users cannot create setuid files in /var/tmp</t>
  </si>
  <si>
    <t>Ensure noexec option set on /var/tmp partition</t>
  </si>
  <si>
    <t>Since the /var/tmp filesystem is only intended for temporary file storage, set this option to ensure that users cannot run executable binaries from /var/tmp</t>
  </si>
  <si>
    <t>Initial Setup</t>
  </si>
  <si>
    <t>Filesystem</t>
  </si>
  <si>
    <t>Configure Filesystem Kernel Modules</t>
  </si>
  <si>
    <t>Configure Filesystem Partitions</t>
  </si>
  <si>
    <t>Configure /tmp</t>
  </si>
  <si>
    <t>Configure /dev/shm</t>
  </si>
  <si>
    <t>Configure /home</t>
  </si>
  <si>
    <t>Configure /var</t>
  </si>
  <si>
    <t>Configure /var/tmp</t>
  </si>
  <si>
    <t>Configure /var/log</t>
  </si>
  <si>
    <t>Configure /var/log/audit</t>
  </si>
  <si>
    <t>1.1.2.6.1</t>
  </si>
  <si>
    <t>1.1.2.6.2</t>
  </si>
  <si>
    <t>1.1.2.6.3</t>
  </si>
  <si>
    <t>1.1.2.6.4</t>
  </si>
  <si>
    <t>Ensure separate partition exists for /var/log</t>
  </si>
  <si>
    <t>As /var/log contains log files, care should be taken to ensure the security and integrity of the data and mount point</t>
  </si>
  <si>
    <t>Ensure nodev option set on /var/log partition</t>
  </si>
  <si>
    <t>Since the /var/log filesystem is not intended to support devices, set this option to ensure that users cannot create a block or character special devices in /var/log</t>
  </si>
  <si>
    <t>Ensure nosuid option set on /var/log partition</t>
  </si>
  <si>
    <t>Since the /var/log filesystem is only intended for log files, set this option to ensure that users cannot create setuid files in /var/log</t>
  </si>
  <si>
    <t>Since the /var/log filesystem is only intended for log files, set this option to ensure that users cannot run executable binaries from /var/log</t>
  </si>
  <si>
    <t>Ensure noexec option set on /var/log partition</t>
  </si>
  <si>
    <t xml:space="preserve">1.1.2.7.1 </t>
  </si>
  <si>
    <t>1.1.2.7.2</t>
  </si>
  <si>
    <t>1.1.2.7.3</t>
  </si>
  <si>
    <t>1.1.2.7.4</t>
  </si>
  <si>
    <t>Ensure separate partition exists for /var/log/audit</t>
  </si>
  <si>
    <t>As /var/log/audit contains audit logs, care should be taken to ensure the security and integrity of the data and mount point</t>
  </si>
  <si>
    <t>Ensure nodev option set on /var/log/audit partition</t>
  </si>
  <si>
    <t>Since the /var/log/audit filesystem is not intended to support devices, set this option to ensure that users cannot create a block or character special devices in /var/log/audit</t>
  </si>
  <si>
    <t>Ensure nosuid option set on /var/log/audit partition</t>
  </si>
  <si>
    <t>Since the /var/log/audit filesystem is only intended for variable files such as logs, set this option to ensure that users cannot create setuid files in /var/log/audit</t>
  </si>
  <si>
    <t>Ensure noexec option set on /var/log/audit partition</t>
  </si>
  <si>
    <t>Since the /var/log/audit filesystem is only intended for audit logs, set this option to ensure that users cannot run executable binaries from /var/log/audit</t>
  </si>
  <si>
    <t>Package Management</t>
  </si>
  <si>
    <t>Configure Package Repositories</t>
  </si>
  <si>
    <t>Configure Package Updates</t>
  </si>
  <si>
    <t>Ensure updates, patches, and additional security software are installed</t>
  </si>
  <si>
    <t>1.2.2.1</t>
  </si>
  <si>
    <t>Periodically patches are released for included software either due to security flaws or to include additional functionality</t>
  </si>
  <si>
    <t>1.2.1.1</t>
  </si>
  <si>
    <t>Ensure the source.list and .source files use the Signed-By option</t>
  </si>
  <si>
    <t>Verifying that updates originate from a trusted and authenticated source helps mitigate the risk of spoofing attacks, which could otherwise lead to the inadvertent installation of malicious or compromised software</t>
  </si>
  <si>
    <t>1.2.1.2</t>
  </si>
  <si>
    <t>1.2.1.3</t>
  </si>
  <si>
    <t>1.2.1.4</t>
  </si>
  <si>
    <t>1.2.1.5</t>
  </si>
  <si>
    <t>1.2.1.6</t>
  </si>
  <si>
    <t>1.2.1.7</t>
  </si>
  <si>
    <t>1.2.1.8</t>
  </si>
  <si>
    <t>1.2.1.9</t>
  </si>
  <si>
    <t>Ensure weak dependencies are configured</t>
  </si>
  <si>
    <t>Unless a system specifically requires the additional capabilities provides by the weak dependencies, it is recommended that the packages are not installed to reduce the potential attack surface</t>
  </si>
  <si>
    <t>Ensure access to gpg key files are configured</t>
  </si>
  <si>
    <t>Ensure access to /etc/apt/trusted.gpg.d directory is configured</t>
  </si>
  <si>
    <t>The /etc/apt/auth.conf.d directory contains APT .conf files which should have restricted access because they control how the package manager runs as root and may contain sensitive information</t>
  </si>
  <si>
    <t>Ensure access to /etc/apt/auth.conf.d directory is configured</t>
  </si>
  <si>
    <t>Ensure access to files in the /etc/apt/auth.conf.d/ directory is configured</t>
  </si>
  <si>
    <t>Access to the .conf files in the /etc/apt/auth.conf.d directory should be restricted to prevent secrets leakage of Login information needed to connect to a proxy or to download data from a repository</t>
  </si>
  <si>
    <t>A non-root user should not be able to add or remove keys from this directory. Misconfiguring could allow a non-root user to add repositories containing malicious packages</t>
  </si>
  <si>
    <t>Ensure access to /usr/share/keyrings directory is configured</t>
  </si>
  <si>
    <t>Ensure access to /etc/apt/sources.list.d directory is configured</t>
  </si>
  <si>
    <t>/etc/apt/sources.list.d directory contains files with repositories to be used by APT. A non-root user should not be able to add or remove files from this directory. Misconfiguring could allow a non-root user to add repositories containing malicious packages</t>
  </si>
  <si>
    <t>Ensure access to files in /etc/apt/sources.list.d are configured</t>
  </si>
  <si>
    <t>Files in the /etc/apt/sources.list.d directory contain information about repositories to be used by APT. A non-root user should not be able to add or remove files from this directory. Misconfiguring could allow a non-root user to add repositories containing malicious packages</t>
  </si>
  <si>
    <t>1.3.1.1</t>
  </si>
  <si>
    <t>1.3.1.2</t>
  </si>
  <si>
    <t>1.3.1.3</t>
  </si>
  <si>
    <t>1.3.1.4</t>
  </si>
  <si>
    <t xml:space="preserve">Ensure apparmor packages are installed </t>
  </si>
  <si>
    <t>Without a Mandatory Access Control system installed only the default Discretionary Access Control system will be available</t>
  </si>
  <si>
    <t>Ensure AppArmor is enabled</t>
  </si>
  <si>
    <t>AppArmor is a security mechanism and disabling it is not recommended</t>
  </si>
  <si>
    <t>Ensure all AppArmor Profiles are enforcing</t>
  </si>
  <si>
    <t>Security configuration requirements vary from site to site. Some sites may mandate a policy that is stricter than the default policy, which is perfectly acceptable. This item is intended to ensure that any policies that exist on the system are activated</t>
  </si>
  <si>
    <t>Ensure apparmor_restrict_unprivileged_unconfined is enabled</t>
  </si>
  <si>
    <t>By making sure the kernel.apparmor_restrict_unprivileged_unconfined sysctl setting is enabled, a process that is unprivileged and unconfined cannot leverage aa-exec to change to a more favourable profile</t>
  </si>
  <si>
    <t xml:space="preserve">Ensure bootloader password is set </t>
  </si>
  <si>
    <t>Requiring a boot password upon execution of the boot loader will prevent an unauthorized user from entering boot parameters or changing the boot partition</t>
  </si>
  <si>
    <t>Ensure access to bootloader config is configured</t>
  </si>
  <si>
    <t>Setting the permissions to read and write for root only prevents non-root users from seeing the boot parameters or changing them</t>
  </si>
  <si>
    <t>1.5.1</t>
  </si>
  <si>
    <t>1.5.2</t>
  </si>
  <si>
    <t>1.5.3</t>
  </si>
  <si>
    <t>1.5.4</t>
  </si>
  <si>
    <t>1.5.5</t>
  </si>
  <si>
    <t>1.5.6</t>
  </si>
  <si>
    <t>1.5.7</t>
  </si>
  <si>
    <t>1.5.8</t>
  </si>
  <si>
    <t>1.5.9</t>
  </si>
  <si>
    <t>1.5.10</t>
  </si>
  <si>
    <t>1.5.11</t>
  </si>
  <si>
    <t>1.5.12</t>
  </si>
  <si>
    <t>1.5.13</t>
  </si>
  <si>
    <t>Ensure fs.protected_hardlinks is configured</t>
  </si>
  <si>
    <t>Disallowing hardlinks mitigates vulnerabilities based on unsecure file systems accessed by privileged programs. This reduces the risk of an exploitation vector exploiting unsafe use of open or creat</t>
  </si>
  <si>
    <t>Ensure fs.protected_symlinks is configured</t>
  </si>
  <si>
    <t>Disallowing symlinks mitigates vulnerabilities based on unsecure file systems accessed by privileged programs. This reduces the risk of an exploitation vector exploiting unsafe use of open or creat</t>
  </si>
  <si>
    <t>Ensure kernel.yama.ptrace_scope is configured</t>
  </si>
  <si>
    <t>Enabling restricted mode will limit the ability of a compromised process to PTRACE_ATTACH on other processes running under the same user. With restricted mode, ptrace will continue to work with root user</t>
  </si>
  <si>
    <t>Ensure fs.suid_dumpable is configured</t>
  </si>
  <si>
    <t>Core dumps may contain sensitive in-memory data like password hashes or keys. An attacker could potentially exploit this to gain access to such data</t>
  </si>
  <si>
    <t>Ensure kernel.dmesg_restrict is configured</t>
  </si>
  <si>
    <t>Restricting access to the kernel message buffer limits access to only root. This prevents attackers from gaining additional system information as a non-privileged user</t>
  </si>
  <si>
    <t>Ensure prelink is not installed</t>
  </si>
  <si>
    <t>The prelinking feature can interfere with the operation of AIDE, because it changes binaries. Prelinking can also increase the vulnerability of the system if a malicious user is able to compromise a common library such as libc</t>
  </si>
  <si>
    <t>Ensure Automatic Error Reporting is configured</t>
  </si>
  <si>
    <t>Apport collects potentially sensitive data, such as core dumps, stack traces, and log files. They can contain passwords, credit card numbers, serial numbers, and other private material</t>
  </si>
  <si>
    <t>Ensure kernel.kptr_restrict is configured</t>
  </si>
  <si>
    <t>Masking the kernel symbols in /proc/kallsyms reduces the ability of an attacker using them to learn more about what to attack on your system</t>
  </si>
  <si>
    <t>Ensure kernel.randomize_va_space is configured</t>
  </si>
  <si>
    <t>Randomly placing virtual memory regions will make it difficult to write memory page exploits as the memory placement will be consistently shifting</t>
  </si>
  <si>
    <t>Повтор пункта 1.5.3</t>
  </si>
  <si>
    <t>Ensure core file size is configured</t>
  </si>
  <si>
    <t>Setting a hard limit on core dumps prevents users from overriding the soft variable. A core dump includes a memory image taken at the time the operating system terminates an application. The memory image could contain sensitive data and is generally useful only for developers trying to debug problems</t>
  </si>
  <si>
    <t>Ensure systemd-coredump ProcessSizeMax is configured</t>
  </si>
  <si>
    <t>A core dump includes a memory image taken at the time the operating system terminates an application. The memory image could contain sensitive data and is generally useful only for developers trying to debug problems, increasing the risk to the system</t>
  </si>
  <si>
    <t>Ensure systemd-coredump Storage is configured</t>
  </si>
  <si>
    <t>A core dump includes a memory image taken at the time the operating system terminates an application. The memory image could contain sensitive data and is generally useful only for developers trying to debug problems</t>
  </si>
  <si>
    <t>Ensure /etc/motd is configured</t>
  </si>
  <si>
    <t>1.6.1</t>
  </si>
  <si>
    <t>1.6.2</t>
  </si>
  <si>
    <t>1.6.3</t>
  </si>
  <si>
    <t>1.6.4</t>
  </si>
  <si>
    <t>1.6.5</t>
  </si>
  <si>
    <t>1.6.6</t>
  </si>
  <si>
    <t>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t>
  </si>
  <si>
    <t xml:space="preserve">Ensure /etc/issue is configured </t>
  </si>
  <si>
    <t>Ensure /etc/issue.net is configured</t>
  </si>
  <si>
    <t>Ensure access to /etc/motd is configured</t>
  </si>
  <si>
    <t xml:space="preserve"> - IF - the /etc/motd file does not have the correct access configured, it could be modified by unauthorized users with incorrect or misleading information</t>
  </si>
  <si>
    <t>Ensure access to /etc/issue is configured</t>
  </si>
  <si>
    <t>Ensure access to /etc/issue.net is configured</t>
  </si>
  <si>
    <t xml:space="preserve"> - IF - the /etc/issue file does not have the correct access configured, it could be modified by unauthorized users with incorrect or misleading information</t>
  </si>
  <si>
    <t xml:space="preserve"> - IF - the /etc/issue.net file does not have the correct access configured, it could be modified by unauthorized users with incorrect or misleading information</t>
  </si>
  <si>
    <t>1.7.1</t>
  </si>
  <si>
    <t>1.7.2</t>
  </si>
  <si>
    <t>1.7.3</t>
  </si>
  <si>
    <t>1.7.4</t>
  </si>
  <si>
    <t>1.7.5</t>
  </si>
  <si>
    <t>1.7.6</t>
  </si>
  <si>
    <t>1.7.7</t>
  </si>
  <si>
    <t>1.7.8</t>
  </si>
  <si>
    <t>1.7.9</t>
  </si>
  <si>
    <t>1.7.10</t>
  </si>
  <si>
    <t>1.7.11</t>
  </si>
  <si>
    <t xml:space="preserve">Ensure GDM is removed </t>
  </si>
  <si>
    <t>If a Graphical User Interface (GUI) is not required, it should be removed to reduce the attack surface of the system</t>
  </si>
  <si>
    <t>Ensure GDM login banner is configured</t>
  </si>
  <si>
    <t>Warning messages inform users who are attempting to login to the system of their legal status regarding the system and must include the name of the organization that owns the system and any monitoring policies that are in place</t>
  </si>
  <si>
    <t>Ensure GDM disable-user-list option is enabled</t>
  </si>
  <si>
    <t>Displaying the user list eliminates half of the Userid/Password equation that an unauthorized person would need to log on</t>
  </si>
  <si>
    <t>Ensure GDM screen locks when the user is idle</t>
  </si>
  <si>
    <t>Setting a lock-out value reduces the window of opportunity for unauthorized user access to another user's session that has been left unattended</t>
  </si>
  <si>
    <t>Ensure GDM screen locks cannot be overridden</t>
  </si>
  <si>
    <t>Setting a lock-out value reduces the window of opportunity for unauthorized user access to another user's session that has been left unattended. Without locking down the system settings, user settings take precedence over the system settings</t>
  </si>
  <si>
    <t>Ensure GDM automatic mounting of removable media is disabled</t>
  </si>
  <si>
    <t>With automounting enabled anyone with physical access could attach a USB drive or disc and have its contents available in system even if they lacked permissions to mount it themselves</t>
  </si>
  <si>
    <t>Ensure GDM disabling automatic mounting of removable media is not overridden</t>
  </si>
  <si>
    <t>Ensure GDM autorun-never is enabled</t>
  </si>
  <si>
    <t>Ensure GDM autorun-never is not overridden</t>
  </si>
  <si>
    <t>Malware on removable media may taking advantage of Autorun features when the media is inserted into a system and execute</t>
  </si>
  <si>
    <t xml:space="preserve">Ensure XDMCP is not enabled </t>
  </si>
  <si>
    <t>Ensure Xwayland is configured</t>
  </si>
  <si>
    <t>Wayland's security benefits from not relying on X11's network listener. Without X11, there's no network listener, making it harder for malicious actors to exploit vulnerabilities in X11. However, enabling Xwayland (running X11 applications on Wayland) introduces X11's security concerns</t>
  </si>
  <si>
    <t>XDMCP is inherently insecure</t>
  </si>
  <si>
    <t xml:space="preserve">Ensure autofs services are not in use </t>
  </si>
  <si>
    <t>2.1.1</t>
  </si>
  <si>
    <t>2.1.2</t>
  </si>
  <si>
    <t>2.1.3</t>
  </si>
  <si>
    <t>2.1.4</t>
  </si>
  <si>
    <t>2.1.5</t>
  </si>
  <si>
    <t>2.1.6</t>
  </si>
  <si>
    <t>2.1.7</t>
  </si>
  <si>
    <t>2.1.8</t>
  </si>
  <si>
    <t>2.1.9</t>
  </si>
  <si>
    <t>2.1.10</t>
  </si>
  <si>
    <t>2.1.11</t>
  </si>
  <si>
    <t>2.1.12</t>
  </si>
  <si>
    <t>2.1.13</t>
  </si>
  <si>
    <t>2.1.14</t>
  </si>
  <si>
    <t>2.1.15</t>
  </si>
  <si>
    <t>2.1.16</t>
  </si>
  <si>
    <t>2.1.17</t>
  </si>
  <si>
    <t>2.1.18</t>
  </si>
  <si>
    <t>2.1.19</t>
  </si>
  <si>
    <t>2.1.20</t>
  </si>
  <si>
    <t>2.1.21</t>
  </si>
  <si>
    <t>2.1.22</t>
  </si>
  <si>
    <t>2.1.23</t>
  </si>
  <si>
    <t>With automounting enabled anyone with physical access could attach a USB drive or disc and have its contents available in the filesystem even if they lacked permissions to mount it themselves</t>
  </si>
  <si>
    <t>Ensure avahi daemon services are not in use</t>
  </si>
  <si>
    <t>Automatic discovery of network services is not normally required for system functionality. It is recommended to remove this package to reduce the potential attack surface</t>
  </si>
  <si>
    <t>Ensure dhcp server services are not in use</t>
  </si>
  <si>
    <t>Unless a system is specifically set up to act as a DHCP server, it is recommended that the kea package be removed to reduce the potential attack surface</t>
  </si>
  <si>
    <t>Ensure dns server services are not in use</t>
  </si>
  <si>
    <t>Unless a system is specifically designated to act as a DNS server, it is recommended that the package be deleted to reduce the potential attack surface</t>
  </si>
  <si>
    <t xml:space="preserve">Ensure dnsmasq services are not in use </t>
  </si>
  <si>
    <t>Unless a system is specifically designated to act as a DNS caching, DNS forwarding and/or DHCP server, it is recommended that the package be removed to reduce the potential attack surface</t>
  </si>
  <si>
    <t>Ensure ftp server services are not in use</t>
  </si>
  <si>
    <t>FTP does not protect the confidentiality of data or authentication credentials. It is recommended SFTP be used if file transfer is required. Unless there is a need to run the system as a FTP server, it is recommended that the package be deleted to reduce the potential attack surface</t>
  </si>
  <si>
    <t xml:space="preserve">Ensure ldap server services are not in use </t>
  </si>
  <si>
    <t>If the system will not need to act as an LDAP server, it is recommended that the software be removed to reduce the potential attack surface</t>
  </si>
  <si>
    <t>Ensure message access server services are not in use</t>
  </si>
  <si>
    <t>Unless POP3 and/or IMAP servers are to be provided by this system, it is recommended that the package be removed to reduce the potential attack surface. Note: Several IMAP/POP3 servers exist and can use other service names. These should also be audited and the packages removed if not required</t>
  </si>
  <si>
    <t>Ensure network file system services are not in use</t>
  </si>
  <si>
    <t>If the system does not export NFS shares, it is recommended that the nfs-kernel-server package be removed to reduce the remote attack surface</t>
  </si>
  <si>
    <t>Ensure nis server services are not in use</t>
  </si>
  <si>
    <t>ypserv.service is inherently an insecure system that has been vulnerable to DOS attacks, buffer overflows and has poor authentication for querying NIS maps. NIS generally has been replaced by such protocols as Lightweight Directory Access Protocol (LDAP). It is recommended that ypserv.service be removed and other, more secure services be used</t>
  </si>
  <si>
    <t>Ensure print server services are not in use</t>
  </si>
  <si>
    <t>If the system does not need to print jobs or accept print jobs from other systems, it is recommended that CUPS be removed to reduce the potential attack surface</t>
  </si>
  <si>
    <t>Ensure rpcbind services are not in use</t>
  </si>
  <si>
    <t>A small request sent to the Portmapper generates a large response , which makes it a suitable tool for DDoS attacks. If rpcbind is not required, it is recommended to remove rpcbind package to reduce the potential attack surface</t>
  </si>
  <si>
    <t>Ensure rsync services are not in use</t>
  </si>
  <si>
    <t>rsync.service presents a security risk as the rsync protocol is unencrypted. The rsync package should be removed to reduce the attack area of the system</t>
  </si>
  <si>
    <t>Ensure snmp services are not in use</t>
  </si>
  <si>
    <t>If the the SNMP service is not required, the snmpd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t>
  </si>
  <si>
    <t>Ensure samba file server services are not in use</t>
  </si>
  <si>
    <t>If there is no need to mount directories and file systems to Windows systems, then this service should be deleted to reduce the potential attack surface</t>
  </si>
  <si>
    <t>Ensure telnet-server services are not in use</t>
  </si>
  <si>
    <t>The telnet protocol is insecure and unencrypted</t>
  </si>
  <si>
    <t>Ensure tftp server services are not in use</t>
  </si>
  <si>
    <t>Unless there is a need to run the system as a TFTP server, it is recommended that the package be removed to reduce the potential attack surface. TFTP does not have built-in encryption, access control or authentication. This makes it very easy for an attacker to exploit TFTP to gain access to files</t>
  </si>
  <si>
    <t>Ensure web proxy server services are not in use</t>
  </si>
  <si>
    <t>Unless a system is specifically set up to act as a proxy server, it is recommended that the squid package be removed to reduce the potential attack surface. Note: Several HTTP proxy servers exist. These should be checked and removed unless required</t>
  </si>
  <si>
    <t>Ensure xinetd services are not in use</t>
  </si>
  <si>
    <t>If there are no xinetd services required, it is recommended that the package be removed to reduce the attack surface are of the system. Note: If an xinetd service or services are required, ensure that any xinetd service not required is stopped and masked</t>
  </si>
  <si>
    <t xml:space="preserve">Ensure web server services are not in use </t>
  </si>
  <si>
    <t>Unless there is a local site approved requirement to run a web server service on the system, web server packages should be removed to reduce the potential attack surface</t>
  </si>
  <si>
    <t>Ensure X window server services are not in use</t>
  </si>
  <si>
    <t>Unless your organization specifically requires graphical login access via X Windows, remove it to reduce the potential attack surface</t>
  </si>
  <si>
    <t>Ensure mail transfer agents are configured for local-only mode</t>
  </si>
  <si>
    <t>While it is important to ensure that the system can process local mail messages, it is not necessary to have the MTA's daemon listening on a port unless the server is intended to be a mail server that receives and processes mail from other systems</t>
  </si>
  <si>
    <t>Ensure only approved services are listening on a network interface</t>
  </si>
  <si>
    <t>Services listening on the system pose a potential risk as an attack vector. Theseservices should be reviewed, and if not required, the service should be stopped, and the package containing the service should be removed. If required packages have a dependency, the service should be stopped and masked to reduce the attack surface of the system</t>
  </si>
  <si>
    <t>Ensure nis client is not installed</t>
  </si>
  <si>
    <t>2.2.1</t>
  </si>
  <si>
    <t>2.2.2</t>
  </si>
  <si>
    <t>2.2.3</t>
  </si>
  <si>
    <t>2.2.4</t>
  </si>
  <si>
    <t>2.2.5</t>
  </si>
  <si>
    <t>2.2.6</t>
  </si>
  <si>
    <t>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t>
  </si>
  <si>
    <t>Ensure rsh client is not installed</t>
  </si>
  <si>
    <t>These legacy clients contain numerous security exposures and have been replaced with the more secure SSH package. Even if the server is removed, it is best to ensure the clients are also removed to prevent users from inadvertently attempting to use these commands and therefore exposing their credentials. Note that removing the rsh-client package removes the clients for rsh , rcp and rlogin</t>
  </si>
  <si>
    <t>Ensure talk client is not installed</t>
  </si>
  <si>
    <t>The software presents a security risk as it uses unencrypted protocols for communication</t>
  </si>
  <si>
    <t>Ensure telnet client is not installed</t>
  </si>
  <si>
    <t>Ensure ldap client is not installed</t>
  </si>
  <si>
    <t>If the system will not need to act as an LDAP client, it is recommended that the software be removed to reduce the potential attack surface</t>
  </si>
  <si>
    <t>Ensure ftp client is not installed</t>
  </si>
  <si>
    <t>Unless there is a need to run the system using Internet standard File Transfer Protocol, it is recommended that the package be removed to reduce the potential attack surface</t>
  </si>
  <si>
    <t>Ensure a single time synchronization daemon is in use</t>
  </si>
  <si>
    <t>2.3.1.1</t>
  </si>
  <si>
    <t>Time synchronization is important to support time sensitive security mechanisms and ensures log files have consistent time records across the enterprise, which aids in forensic investigations</t>
  </si>
  <si>
    <t>Ensure systemd-timesyncd configured with authorized timeserver</t>
  </si>
  <si>
    <t>2.3.2.1</t>
  </si>
  <si>
    <t>2.3.2.2</t>
  </si>
  <si>
    <t>Ensure systemd-timesyncd is enabled and running</t>
  </si>
  <si>
    <t>Ensure chrony is configured with authorized timeserver</t>
  </si>
  <si>
    <t>2.3.3.1</t>
  </si>
  <si>
    <t>2.3.3.2</t>
  </si>
  <si>
    <t>2.3.3.3</t>
  </si>
  <si>
    <t>Ensure chrony is running as user _chrony</t>
  </si>
  <si>
    <t>The chronyd service should run with only the required privlidges</t>
  </si>
  <si>
    <t>Ensure chrony is enabled and running</t>
  </si>
  <si>
    <t>2.4.1.1</t>
  </si>
  <si>
    <t>2.4.1.2</t>
  </si>
  <si>
    <t>2.4.1.3</t>
  </si>
  <si>
    <t>2.4.1.4</t>
  </si>
  <si>
    <t>2.4.1.5</t>
  </si>
  <si>
    <t>2.4.1.6</t>
  </si>
  <si>
    <t>2.4.1.7</t>
  </si>
  <si>
    <t>2.4.1.8</t>
  </si>
  <si>
    <t>2.4.1.9</t>
  </si>
  <si>
    <t>Ensure cron daemon is enabled and active</t>
  </si>
  <si>
    <t>While there may not be user jobs that need to be run on the system, the system does have maintenance jobs that may include security monitoring that have to run, and cron is used to execute them</t>
  </si>
  <si>
    <t>Ensure access to /etc/crontab is configured</t>
  </si>
  <si>
    <t>This file contains information on what system jobs are run by cron. Write access to these files could provide unprivileged users with the ability to elevate their privileges. Read access to these files could provide users with the ability to gain insight on system jobs that run on the system and could provide them a way to gain unauthorized privileged access</t>
  </si>
  <si>
    <t>Ensure access to /etc/cron.hourly is configured</t>
  </si>
  <si>
    <t>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</si>
  <si>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Ensure access to /etc/cron.daily is configured</t>
  </si>
  <si>
    <t>Ensure access to /etc/cron.weekly is configured</t>
  </si>
  <si>
    <t>Ensure access to /etc/cron.monthly is configured</t>
  </si>
  <si>
    <t>Ensure access to /etc/cron.yearly is configured</t>
  </si>
  <si>
    <t>Ensure access to /etc/cron.d is configured</t>
  </si>
  <si>
    <t>Ensure access to crontab is configured</t>
  </si>
  <si>
    <t>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t>
  </si>
  <si>
    <t>Ensure access to at is configured</t>
  </si>
  <si>
    <t>On many systems, only the system administrator is authorized to schedule at jobs. Using the at.allow file to control who can run at jobs enforces this policy. It is easier to manage an allow list than a deny list. In a deny list, you could potentially add a user ID to the system and forget to add it to the deny files</t>
  </si>
  <si>
    <t>2.4.2.1</t>
  </si>
  <si>
    <t>Ensure IPv6 status is identified</t>
  </si>
  <si>
    <t xml:space="preserve"> - IF - dual stack and IPv6 are not used in your environment, IPv6 may be disabled to reduce the attack surface of the system, and recommendations pertaining to IPv6 can be skipped. Note: It is recommended that IPv6 be enabled and configured unless this is against local site policy</t>
  </si>
  <si>
    <t>Ensure wireless interfaces are not available</t>
  </si>
  <si>
    <t xml:space="preserve"> -IF- wireless is not to be used, wireless devices can be disabled to reduce the potential attack surface</t>
  </si>
  <si>
    <t>Ensure bluetooth services are not in use</t>
  </si>
  <si>
    <t>Ensure atm kernel module is not available</t>
  </si>
  <si>
    <t>Removing support for unneeded protocols reduces the local attack surface of the system. If this protocol is not needed, disable it</t>
  </si>
  <si>
    <t xml:space="preserve">3.2.1 </t>
  </si>
  <si>
    <t>3.2.3</t>
  </si>
  <si>
    <t>3.2.4</t>
  </si>
  <si>
    <t>3.2.5</t>
  </si>
  <si>
    <t>3.2.6</t>
  </si>
  <si>
    <t>Ensure can kernel module is not available</t>
  </si>
  <si>
    <t xml:space="preserve">Ensure dccp kernel module is not available </t>
  </si>
  <si>
    <t>Ensure rds kernel module is not available</t>
  </si>
  <si>
    <t xml:space="preserve">Ensure sctp kernel module is not available </t>
  </si>
  <si>
    <t>Ensure tipc kernel module is not available</t>
  </si>
  <si>
    <t>Ensure net.ipv4.ip_forward is configured</t>
  </si>
  <si>
    <t>Routing protocol daemons are typically used on routers to exchange network topology information with other routers. If this software is used when not required, system network information may be unnecessarily transmitted across the network</t>
  </si>
  <si>
    <t>3.3.1.1</t>
  </si>
  <si>
    <t>3.3.1.2</t>
  </si>
  <si>
    <t>3.3.1.3</t>
  </si>
  <si>
    <t>3.3.1.4</t>
  </si>
  <si>
    <t>3.3.1.5</t>
  </si>
  <si>
    <t>3.3.1.6</t>
  </si>
  <si>
    <t>3.3.1.7</t>
  </si>
  <si>
    <t>3.3.1.8</t>
  </si>
  <si>
    <t>3.3.1.9</t>
  </si>
  <si>
    <t>3.3.1.10</t>
  </si>
  <si>
    <t>3.3.1.11</t>
  </si>
  <si>
    <t>3.3.1.12</t>
  </si>
  <si>
    <t>3.3.1.13</t>
  </si>
  <si>
    <t>3.3.1.14</t>
  </si>
  <si>
    <t>3.3.1.15</t>
  </si>
  <si>
    <t>3.3.1.16</t>
  </si>
  <si>
    <t>3.3.1.17</t>
  </si>
  <si>
    <t>3.3.1.18</t>
  </si>
  <si>
    <t>Ensure net.ipv4.conf.all.forwarding is configured</t>
  </si>
  <si>
    <t>Ensure net.ipv4.conf.default.forwarding is configured</t>
  </si>
  <si>
    <t>Ensure net.ipv4.conf.all.send_redirects is configured</t>
  </si>
  <si>
    <t>An attacker could use a compromised host to send invalid ICMP redirects to other router devices in an attempt to corrupt routing and have users access a system set up by the attacker as opposed to a valid system</t>
  </si>
  <si>
    <t>Ensure net.ipv4.conf.default.send_redirects is configured</t>
  </si>
  <si>
    <t>Ensure net.ipv4.icmp_ignore_bogus_error_responses is configured</t>
  </si>
  <si>
    <t>Some routers (and some attackers) will send responses that violate RFC-1122 and attempt to fill up a log file system with many useless error messages</t>
  </si>
  <si>
    <t>Ensure net.ipv4.icmp_echo_ignore_broadcasts is configured</t>
  </si>
  <si>
    <t>Accepting ICMP echo and timestamp requests with broadcast or multicast destinations for your network could be used to trick your host into starting (or participating) in a Smurf attack</t>
  </si>
  <si>
    <t>Ensure net.ipv4.conf.all.accept_redirects is configured</t>
  </si>
  <si>
    <t>ICMP redirect messages are packets that convey routing information and tell your host (acting as a router) to send packets via an alternate path. It is a way of allowing an outside routing device to update your system routing tables</t>
  </si>
  <si>
    <t>Ensure net.ipv4.conf.default.accept_redirects is configured</t>
  </si>
  <si>
    <t>Ensure net.ipv4.conf.all.secure_redirects is configured</t>
  </si>
  <si>
    <t>It is still possible for even known gateways to be compromised. Setting net.ipv4.conf.all.secure_redirects to 0 the system will not accept any IPv4 routing table updates by possibly compromised known gateways</t>
  </si>
  <si>
    <t>Ensure net.ipv4.conf.default.secure_redirects is configured</t>
  </si>
  <si>
    <t>It is still possible for even known gateways to be compromised. Setting net.ipv4.conf.default.secure_redirects to 0 the system the system will not accept IPv4 routing table updates by possibly compromised known gateways on a newly added network interface</t>
  </si>
  <si>
    <t>Ensure net.ipv4.conf.all.rp_filter is configured</t>
  </si>
  <si>
    <t>Setting net.ipv4.conf.all.rp_filter to 1 is a good way to deter attackers from sending your system bogus packets that cannot be responded to. One instance where this feature breaks down is if asymmetrical routing is employed</t>
  </si>
  <si>
    <t>Ensure net.ipv4.conf.all.accept_source_route is configured</t>
  </si>
  <si>
    <t>Ensure net.ipv4.conf.default.rp_filter is configured</t>
  </si>
  <si>
    <t>Setting net.ipv4.conf.default.rp_filter to 1 is a good way to deter attackers from sending your system bogus packets that cannot be responded to. One instance where this feature breaks down is if asymmetrical routing is employed</t>
  </si>
  <si>
    <t>Setting net.ipv4.conf.all.accept_source_route to 0 disables the system from accepting source routed packets... If, however, source routed packets were allowed, they could be used to gain access to the private address systems as the route could be specified, rather than rely on routing protocols that did not allow this routing</t>
  </si>
  <si>
    <t>Ensure net.ipv4.conf.default.accept_source_route is configured</t>
  </si>
  <si>
    <t>Setting net.ipv4.conf.default.accept_source_route to 0 disables the system from accepting source routed packets... If, however, source routed packets were allowed, they could be used to gain access to the private address systems as the route could be specified, rather than rely on routing protocols that did not allow this routing</t>
  </si>
  <si>
    <t>Ensure net.ipv4.conf.all.log_martians is configured</t>
  </si>
  <si>
    <t>Setting net.ipv4.conf.all.log_martians to 1 enables this feature. Logging these packets allows an administrator to investigate the possibility that an attacker is sending spoofed packets to their system</t>
  </si>
  <si>
    <t>Ensure net.ipv4.conf.default.log_martians is configured</t>
  </si>
  <si>
    <t>Setting net.ipv4.conf.default.log_martians to 1 enables this feature. Logging these packets allows an administrator to investigate the possibility that an attacker is sending spoofed packets to their system</t>
  </si>
  <si>
    <t>Ensure net.ipv4.tcp_syncookies is configured</t>
  </si>
  <si>
    <t>Setting net.ipv4.tcp_syncookies to 1 enables SYN cookies, allowing the system to keep accepting valid connections, even if under a denial of service attack</t>
  </si>
  <si>
    <t>Ensure net.ipv6.conf.all.forwarding is configured</t>
  </si>
  <si>
    <t>3.3.2.1</t>
  </si>
  <si>
    <t>3.3.2.2</t>
  </si>
  <si>
    <t>3.3.2.3</t>
  </si>
  <si>
    <t>3.3.2.4</t>
  </si>
  <si>
    <t>3.3.2.5</t>
  </si>
  <si>
    <t>3.3.2.6</t>
  </si>
  <si>
    <t>3.3.2.7</t>
  </si>
  <si>
    <t>3.3.2.8</t>
  </si>
  <si>
    <t>Ensure net.ipv6.conf.default.forwarding is configured</t>
  </si>
  <si>
    <t>Ensure net.ipv6.conf.all.accept_redirects is configured</t>
  </si>
  <si>
    <t>Ensure net.ipv6.conf.default.accept_redirects is configured</t>
  </si>
  <si>
    <t>Ensure net.ipv6.conf.all.accept_source_route is configured</t>
  </si>
  <si>
    <t>Setting net.ipv6.conf.all.accept_source_route to 0 disables the system from accepting source routed packets… If, however, source routed packets were allowed, they could be used to gain access to the private address systems as the route could be specified, rather than rely on routing protocols that did not allow this routing</t>
  </si>
  <si>
    <t>Ensure net.ipv6.conf.default.accept_source_route is configured</t>
  </si>
  <si>
    <t>Setting net.ipv6.conf.default.accept_source_route to 0 disables the system from accepting source routed packets… If, however, source routed packets were allowed, they could be used to gain access to the private address systems as the route could be specified, rather than rely on routing protocols that did not allow this routing</t>
  </si>
  <si>
    <t>Ensure net.ipv6.conf.all.accept_ra is configured</t>
  </si>
  <si>
    <t>It is recommended that systems do not accept router advertisements as they could be tricked into routing traffic to compromised machines. Setting hard routes within the system (usually a single default route to a trusted router) protects the system from bad routes</t>
  </si>
  <si>
    <t>Ensure net.ipv6.conf.default.accept_ra is configured</t>
  </si>
  <si>
    <t>Ensure ufw is installed</t>
  </si>
  <si>
    <t>UFW acts as a frontend for both iptables and nftables and can use either as its backend, though the specific backend depends on the Linux distribution and system configuration</t>
  </si>
  <si>
    <t xml:space="preserve">Ensure ufw service is configured </t>
  </si>
  <si>
    <t>The ufw service must be enabled and running in order for ufw to protect the system</t>
  </si>
  <si>
    <t>Ensure ufw incoming default is configured</t>
  </si>
  <si>
    <t>With a default accept policy the firewall will accept any packet that is not configured to be denied. It is easier to allow list acceptable usage than to deny list unacceptable usage</t>
  </si>
  <si>
    <t>Ensure ufw outgoing default is configured</t>
  </si>
  <si>
    <t>With a default deny outgoing policy the firewall will deny ALL outgoing traffic and is a highly restrictive policy that requires the addition of specific allow rules</t>
  </si>
  <si>
    <t>Ensure ufw routed default is configured</t>
  </si>
  <si>
    <t>A default disabled or deny policy ensures that UFW does not forward traffic between different network interfaces by default. This reduces the risk from unwanted or malicious routed traffic</t>
  </si>
  <si>
    <t>7.1.1</t>
  </si>
  <si>
    <t>7.1.2</t>
  </si>
  <si>
    <t>7.1.3</t>
  </si>
  <si>
    <t>7.1.4</t>
  </si>
  <si>
    <t>7.1.5</t>
  </si>
  <si>
    <t>7.1.6</t>
  </si>
  <si>
    <t>7.1.7</t>
  </si>
  <si>
    <t>7.1.8</t>
  </si>
  <si>
    <t>7.1.9</t>
  </si>
  <si>
    <t>7.1.10</t>
  </si>
  <si>
    <t>7.1.11</t>
  </si>
  <si>
    <t>7.1.12</t>
  </si>
  <si>
    <t>7.1.13</t>
  </si>
  <si>
    <t>7.2.1</t>
  </si>
  <si>
    <t>7.2.2</t>
  </si>
  <si>
    <t>7.2.3</t>
  </si>
  <si>
    <t>7.2.4</t>
  </si>
  <si>
    <t>7.2.5</t>
  </si>
  <si>
    <t>7.2.6</t>
  </si>
  <si>
    <t>7.2.7</t>
  </si>
  <si>
    <t>7.2.8</t>
  </si>
  <si>
    <t>7.2.9</t>
  </si>
  <si>
    <t>7.2.10</t>
  </si>
  <si>
    <t>Ensure access to /etc/ssh/sshd_config is configured</t>
  </si>
  <si>
    <t>5.1.14</t>
  </si>
  <si>
    <t>5.1.15</t>
  </si>
  <si>
    <t>5.1.16</t>
  </si>
  <si>
    <t>5.1.17</t>
  </si>
  <si>
    <t>5.1.18</t>
  </si>
  <si>
    <t>5.1.19</t>
  </si>
  <si>
    <t>5.1.20</t>
  </si>
  <si>
    <t>5.1.21</t>
  </si>
  <si>
    <t>5.1.22</t>
  </si>
  <si>
    <t>5.1.23</t>
  </si>
  <si>
    <t>Configuration specifications for sshd need to be protected from unauthorized changes by non-privileged users</t>
  </si>
  <si>
    <t>Ensure access to SSH private host key files is configured</t>
  </si>
  <si>
    <t>If an threat actor obtains the private SSH host key file, the host could be impersonated</t>
  </si>
  <si>
    <t>Ensure access to SSH public host key files is configured</t>
  </si>
  <si>
    <t>If a public host key file is modified by an unauthorized user, the SSH service may be compromised</t>
  </si>
  <si>
    <t>Ensure sshd access is configured</t>
  </si>
  <si>
    <t>Restricting which users can remotely access the system via SSH will help ensure that only authorized users access the system</t>
  </si>
  <si>
    <t xml:space="preserve">Ensure sshd Banner is configured </t>
  </si>
  <si>
    <t>Not having a properly configured SSH banner, or leaving it at the default value, can expose an organization to legal and compliance risks by failing to provide users with necessary access policies or warnings about unauthorized access. It may violate regulations requiring user acknowledgment of system usage rules, reduce security awareness, and leave systems vulnerable to malicious or unintended access</t>
  </si>
  <si>
    <t>Ensure sshd Ciphers are configured</t>
  </si>
  <si>
    <t>Weak ciphers that are used for authentication to the cryptographic module cannot be relied upon to provide confidentiality or integrity, and system data may be compromised</t>
  </si>
  <si>
    <t>Ensure sshd ClientAliveInterval and ClientAliveCountMax are configured</t>
  </si>
  <si>
    <t>In order to prevent resource exhaustion, appropriate values should be set for both ClientAliveInterval and ClientAliveCountMax. Specifically, looking at the source code, ClientAliveCountMax must be greater than zero in order to utilize the ability of SSH to drop idle connections</t>
  </si>
  <si>
    <t xml:space="preserve">Ensure sshd DisableForwarding is enabled </t>
  </si>
  <si>
    <t>Disable X11 forwarding unless there is an operational requirement to use X11 applications directly. There is a small risk that the remote X11 servers of users who are logged in via SSH with X11 forwarding could be compromised by other users on the X11 server. Note that even if X11 forwarding is disabled, users can always install their own forwarders</t>
  </si>
  <si>
    <t xml:space="preserve">Ensure sshd GSSAPIAuthentication is disabled </t>
  </si>
  <si>
    <t>Allowing GSSAPI authentication through SSH exposes the system's GSSAPI to remote hosts, and should be disabled to reduce the attack surface of the system</t>
  </si>
  <si>
    <t>Ensure sshd HostbasedAuthentication is disabled</t>
  </si>
  <si>
    <t>Even though the .rhosts files are ineffective if support is disabled in /etc/pam.conf, disabling the ability to use .rhosts files in SSH provides an additional layer of protection</t>
  </si>
  <si>
    <t>Ensure sshd IgnoreRhosts is enabled</t>
  </si>
  <si>
    <t>Setting this parameter forces users to enter a password when authenticating with SSH</t>
  </si>
  <si>
    <t>Ensure sshd KexAlgorithms is configured</t>
  </si>
  <si>
    <t>Key exchange methods that are considered weak should be removed</t>
  </si>
  <si>
    <t>Ensure sshd post-quantum cryptography key exchange algorithms are configured</t>
  </si>
  <si>
    <t>PQC helps secure SSH connections against potential attacks from future quantum computers providing protection against both classical and quantum adversaries</t>
  </si>
  <si>
    <t xml:space="preserve">Ensure sshd LoginGraceTime is configured </t>
  </si>
  <si>
    <t>Setting the LoginGraceTime parameter to a low number will minimize the risk of successful brute force attacks to the SSH server. It will also limit the number of concurrent unauthenticated connection</t>
  </si>
  <si>
    <t xml:space="preserve">Ensure sshd LogLevel is configured </t>
  </si>
  <si>
    <t>The 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
The VERBOSE level specifies that login and logout activity as well as the key fingerprint for any SSH key used for login will be logged. This information is important for SSH key management, especially in legacy environments</t>
  </si>
  <si>
    <t xml:space="preserve">Ensure sshd MACs are configured </t>
  </si>
  <si>
    <t>MD5 and 96-bit MAC algorithms are considered weak and have been shown to increase exploitability in SSH downgrade attacks</t>
  </si>
  <si>
    <t>Ensure sshd MaxAuthTries is configured</t>
  </si>
  <si>
    <t>Setting the MaxAuthTries parameter to a low number will minimize the risk of successful brute force attacks to the SSH server.</t>
  </si>
  <si>
    <t>Ensure sshd MaxSessions is configured</t>
  </si>
  <si>
    <t>To protect a system from denial of service due to a large number of concurrent sessions, use the rate limiting function of MaxSessions to protect availability of sshd logins and prevent overwhelming the daemon</t>
  </si>
  <si>
    <t xml:space="preserve">Ensure sshd MaxStartups is configured </t>
  </si>
  <si>
    <t>To protect a system from denial of service due to a large number of pending authentication connection attempts, use the rate limiting function of MaxStartups to protect availability of sshd logins and prevent overwhelming the daemon</t>
  </si>
  <si>
    <t>Ensure sshd PermitEmptyPasswords is disabled</t>
  </si>
  <si>
    <t>Disallowing remote shell access to accounts that have an empty password reduces the probability of unauthorized access to the system</t>
  </si>
  <si>
    <t xml:space="preserve">Ensure sshd PermitRootLogin is disabled </t>
  </si>
  <si>
    <t>Disallowing root logins over SSH requires system admins to authenticate using their own individual account, then escalating to root</t>
  </si>
  <si>
    <t>Ensure sshd PermitUserEnvironment is disabled</t>
  </si>
  <si>
    <t>Permitting users the ability to set environment variables through the SSH daemon could potentially allow users to bypass security controls</t>
  </si>
  <si>
    <t xml:space="preserve">Ensure sshd UsePAM is enabled </t>
  </si>
  <si>
    <t>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t>
  </si>
  <si>
    <t xml:space="preserve">Ensure sudo is installed </t>
  </si>
  <si>
    <t>sudo allows a permitted user to execute a command as the superuser or another user, as specified by the security policy. The invoking user's real (not effective) user ID is used to determine the user name with which to query the security policy</t>
  </si>
  <si>
    <t>Ensure sudo commands use pty</t>
  </si>
  <si>
    <t>Attackers can run a malicious program using sudo which would fork a background process that remains even when the main program has finished executing</t>
  </si>
  <si>
    <t>Ensure sudo log file exists</t>
  </si>
  <si>
    <t>A sudo log file simplifies auditing of sudo commands</t>
  </si>
  <si>
    <t>Ensure users must provide password for escalation</t>
  </si>
  <si>
    <t>Without (re-)authentication, users may access resources or perform tasks for which they do not have authorization</t>
  </si>
  <si>
    <t>Ensure re-authentication for privilege escalation is not disabled globally</t>
  </si>
  <si>
    <t>nsure sudo timestamp_timeout is configured</t>
  </si>
  <si>
    <t>A timeout value reduces the window of opportunity for unauthorized privileged sudo access</t>
  </si>
  <si>
    <t>Ensure access to the su command is restricted</t>
  </si>
  <si>
    <t>Restricting the use of su , and using sudo in its place, provides system administrators better control of the escalation of user privileges to execute privileged commands. The sudo utility also provides a better logging and audit mechanism, as it can log each command executed via sudo , whereas su can only record that a user executed the su program</t>
  </si>
  <si>
    <t>5.3.1.1</t>
  </si>
  <si>
    <t>5.3.1.2</t>
  </si>
  <si>
    <t>5.3.1.3</t>
  </si>
  <si>
    <t>Ensure latest version of pam is installed</t>
  </si>
  <si>
    <t>Older versions of the libpam-runtime package may not include the latest security and feature patches and updates</t>
  </si>
  <si>
    <t>Ensure latest version of libpam-modules is installed</t>
  </si>
  <si>
    <t>Ensure latest version of libpam-pwquality is installed</t>
  </si>
  <si>
    <t>Older versions of the libpam-modules package may not include the latest security and feature patches and updates</t>
  </si>
  <si>
    <t>Older versions of the libpam-pwquality package may not include the latest security and feature patches and updates</t>
  </si>
  <si>
    <t>5.3.2.1</t>
  </si>
  <si>
    <t>5.3.2.2</t>
  </si>
  <si>
    <t>5.3.2.3</t>
  </si>
  <si>
    <t>5.3.2.4</t>
  </si>
  <si>
    <t>Ensure pam_unix module is enabled</t>
  </si>
  <si>
    <t>The system should only provide access after performing authentication of a user</t>
  </si>
  <si>
    <t>Ensure pam_faillock module is enabled</t>
  </si>
  <si>
    <t>Locking out user IDs after n unsuccessful consecutive login attempts mitigates brute force password attacks against your systems</t>
  </si>
  <si>
    <t>Ensure pam_pwquality module is enabled</t>
  </si>
  <si>
    <t>Use of a unique, complex passwords helps to increase the time and resources required to compromise the password</t>
  </si>
  <si>
    <t>Ensure pam_pwhistory module is enabled</t>
  </si>
  <si>
    <t>5.3.3.1.1</t>
  </si>
  <si>
    <t>5.3.3.1.2</t>
  </si>
  <si>
    <t>5.3.3.1.3</t>
  </si>
  <si>
    <t>Ensure password failed attempts lockout is configured</t>
  </si>
  <si>
    <t>Ensure password unlock time is configured</t>
  </si>
  <si>
    <t xml:space="preserve">Ensure password failed attempts lockout includes root account </t>
  </si>
  <si>
    <t>Ensure password number of changed characters is configured</t>
  </si>
  <si>
    <t>5.3.3.2.1</t>
  </si>
  <si>
    <t>5.3.3.2.2</t>
  </si>
  <si>
    <t>5.3.3.2.3</t>
  </si>
  <si>
    <t>5.3.3.2.4</t>
  </si>
  <si>
    <t>5.3.3.2.5</t>
  </si>
  <si>
    <t>5.3.3.2.6</t>
  </si>
  <si>
    <t>5.3.3.2.7</t>
  </si>
  <si>
    <t>5.3.3.2.8</t>
  </si>
  <si>
    <t>Use of a complex password helps to increase the time and resources required to compromise the password</t>
  </si>
  <si>
    <t>Ensure password length is configured</t>
  </si>
  <si>
    <t>Strong passwords help protect systems from password attacks</t>
  </si>
  <si>
    <t>Ensure password complexity is configured</t>
  </si>
  <si>
    <t>Strong passwords protect systems from being hacked through brute force methods</t>
  </si>
  <si>
    <t>Ensure password same consecutive characters is configured</t>
  </si>
  <si>
    <t>Ensure password maximum sequential characters is configured</t>
  </si>
  <si>
    <t>Ensure password dictionary check is enabled</t>
  </si>
  <si>
    <t>If the operating system allows the user to select passwords based on dictionary words, this increases the chances of password compromise by increasing the opportunity for successful guesses, and brute-force attacks</t>
  </si>
  <si>
    <t>Ensure password quality checking is enforced</t>
  </si>
  <si>
    <t>Ensure password quality is enforced for the root user</t>
  </si>
  <si>
    <t>Ensure password history remember is configured</t>
  </si>
  <si>
    <t>Requiring users not to reuse their passwords make it less likely that an attacker will be able to guess the password or use a compromised password. Note: These changes only apply to accounts configured on the local system</t>
  </si>
  <si>
    <t>5.3.3.3.1</t>
  </si>
  <si>
    <t>5.3.3.3.2</t>
  </si>
  <si>
    <t>5.3.3.3.3</t>
  </si>
  <si>
    <t>Ensure password history is enforced for the root user</t>
  </si>
  <si>
    <t>Ensure pam_pwhistory includes use_authtok</t>
  </si>
  <si>
    <t>use_authtok allows multiple pam modules to confirm a new password before it is accepted</t>
  </si>
  <si>
    <t>5.3.3.4.1</t>
  </si>
  <si>
    <t>5.3.3.4.2</t>
  </si>
  <si>
    <t>5.3.3.4.3</t>
  </si>
  <si>
    <t>5.3.3.4.4</t>
  </si>
  <si>
    <t>Ensure pam_unix does not include nullok</t>
  </si>
  <si>
    <t>Using a strong password is essential to helping protect personal and sensitive information from unauthorized access</t>
  </si>
  <si>
    <t>Ensure pam_unix does not include remember</t>
  </si>
  <si>
    <t>The remember=n argument should be removed to ensure a strong password hashing algorithm is being used. A stronger hash provides additional protection to the system by increasing the level of effort needed for an attacker to successfully determine local user's old passwords stored in /etc/security/opasswd</t>
  </si>
  <si>
    <t>Ensure pam_unix includes a strong password hashing algorithm</t>
  </si>
  <si>
    <t>The SHA-512 and yescrypt algorithms provide a stronger hash than other algorithms used by Linux for password hash generation. A stronger hash provides additional protection to the system by increasing the level of effort needed for an attacker to successfully determine local user passwords. Note: These changes only apply to the local system</t>
  </si>
  <si>
    <t>Ensure pam_unix includes use_authtok</t>
  </si>
  <si>
    <t>Ensure password expiration is configured</t>
  </si>
  <si>
    <t>5.4.1.1</t>
  </si>
  <si>
    <t>5.4.1.2</t>
  </si>
  <si>
    <t>5.4.1.3</t>
  </si>
  <si>
    <t>5.4.1.4</t>
  </si>
  <si>
    <t>5.4.1.5</t>
  </si>
  <si>
    <t>5.4.1.6</t>
  </si>
  <si>
    <t>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t>
  </si>
  <si>
    <t>Ensure minimum password days is configured</t>
  </si>
  <si>
    <t>By restricting the frequency of password changes, an administrator can prevent users from repeatedly changing their password in an attempt to circumvent password reuse controls</t>
  </si>
  <si>
    <t>Ensure password expiration warning days is configured</t>
  </si>
  <si>
    <t>Providing an advance warning that a password will be expiring gives users time to think of a secure password. Users caught unaware may choose a simple password or write it down where it may be discovered</t>
  </si>
  <si>
    <t>Ensure strong password hashing algorithm is configured</t>
  </si>
  <si>
    <t>The SHA-512 and yescrypt algorithms provide a stronger hash than other algorithms used by Linux for password hash generation. A stronger hash provides additional protection to the system by increasing the level of effort needed for an attacker to successfully determine local group passwords</t>
  </si>
  <si>
    <t>Ensure inactive password lock is configured</t>
  </si>
  <si>
    <t>Inactive accounts pose a threat to system security since the users are not logging in to notice failed login attempts or other anomalies</t>
  </si>
  <si>
    <t>Ensure all users last password change date is in the past</t>
  </si>
  <si>
    <t>If a user's recorded password change date is in the future, then they could bypass any set password expiration</t>
  </si>
  <si>
    <t>Ensure root is the only UID 0 account</t>
  </si>
  <si>
    <t>5.4.2.1</t>
  </si>
  <si>
    <t>This access must be limited to only the default root account and only from the system console. Administrative access must be through an unprivileged account using an approved mechanism as noted in 5.2.7</t>
  </si>
  <si>
    <t>5.4.2.2</t>
  </si>
  <si>
    <t>5.4.2.3</t>
  </si>
  <si>
    <t>5.4.2.4</t>
  </si>
  <si>
    <t>5.4.2.5</t>
  </si>
  <si>
    <t>5.4.2.6</t>
  </si>
  <si>
    <t>5.4.2.7</t>
  </si>
  <si>
    <t>5.4.2.8</t>
  </si>
  <si>
    <t>Ensure root is the only GID 0 account</t>
  </si>
  <si>
    <t>Using GID 0 for the root account helps prevent root -owned files from accidentally becoming accessible to non-privileged users</t>
  </si>
  <si>
    <t>Ensure group root is the only GID 0 group</t>
  </si>
  <si>
    <t>Using GID 0 for the root group helps prevent root group owned files from accidentally becoming accessible to non-privileged users</t>
  </si>
  <si>
    <t>Ensure root account access is controlled</t>
  </si>
  <si>
    <t>Access to root should be secured at all times</t>
  </si>
  <si>
    <t>Ensure root path integrity</t>
  </si>
  <si>
    <t>The root user can execute any command on the system and could be fooled into executing programs unintentionally if the PATH is not set correctly</t>
  </si>
  <si>
    <t>Ensure root user umask is configured</t>
  </si>
  <si>
    <t>Setting a secure value for umask ensures that users make a conscious choice about their file permissions. A permissive umask value could result in directories or files with excessive permissions that can be read and/or written to by unauthorized users</t>
  </si>
  <si>
    <t>Ensure system accounts do not have a valid login shell</t>
  </si>
  <si>
    <t>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t>
  </si>
  <si>
    <t>Ensure accounts without a valid login shell are locked</t>
  </si>
  <si>
    <t>Ensure nologin is not listed in /etc/shells</t>
  </si>
  <si>
    <t>5.4.3.1</t>
  </si>
  <si>
    <t>5.4.3.2</t>
  </si>
  <si>
    <t>5.4.3.3</t>
  </si>
  <si>
    <t>By putting nologin in /etc/shells, any user that has nologin as its shell is considered a full, unrestricted user. This is not the expected behavior for nologin</t>
  </si>
  <si>
    <t>Ensure default user shell timeout is configured</t>
  </si>
  <si>
    <t>Setting a timeout value reduces the window of opportunity for unauthorized user access to another user's shell session that has been left unattended. It also ends the inactive session and releases the resources associated with that session</t>
  </si>
  <si>
    <t>Ensure default user umask is configured</t>
  </si>
  <si>
    <t>Setting a secure default value for umask ensures that users make a conscious choice about their file permissions. A permissive umask value could result in directories or files with excessive permissions that can be read and/or written to by unauthorized users</t>
  </si>
  <si>
    <t>Ensure access to /etc/passwd is configured</t>
  </si>
  <si>
    <t>It is critical to ensure that the /etc/passwd file is protected from unauthorized write access. Although it is protected by default, the file permissions could be changed either inadvertently or through malicious actions</t>
  </si>
  <si>
    <t xml:space="preserve">Ensure access to /etc/passwd- is configured </t>
  </si>
  <si>
    <t xml:space="preserve">Ensure access to /etc/group is configured </t>
  </si>
  <si>
    <t>The /etc/group file needs to be protected from unauthorized changes by non-privileged users, but needs to be readable as this information is used with many non-privileged programs</t>
  </si>
  <si>
    <t>It is critical to ensure that the /etc/passwd- file is protected from unauthorized write access. Although it is protected by default, the file permissions could be changed either inadvertently or through malicious actions</t>
  </si>
  <si>
    <t>Ensure access to /etc/group- is configured</t>
  </si>
  <si>
    <t>It is critical to ensure that the /etc/group- file is protected from unauthorized write access. Although it is protected by default, the file permissions could be changed either inadvertently or through malicious actions</t>
  </si>
  <si>
    <t>Ensure access to /etc/shadow is configured</t>
  </si>
  <si>
    <t>If attackers can gain read access to the /etc/shadow file, they can easily run a password cracking program against the hashed password to break it. Other security information that is stored in the /etc/shadow file (such as expiration) could also be useful to subvert the user accounts</t>
  </si>
  <si>
    <t>Ensure access to /etc/shadow- is configured</t>
  </si>
  <si>
    <t>It is critical to ensure that the /etc/shadow- file is protected from unauthorized write access. Although it is protected by default, the file permissions could be changed either inadvertently or through malicious actions</t>
  </si>
  <si>
    <t>Ensure access to /etc/gshadow is configured</t>
  </si>
  <si>
    <t>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t>
  </si>
  <si>
    <t>Ensure access to /etc/gshadow- is configured</t>
  </si>
  <si>
    <t>It is critical to ensure that the /etc/gshadow- file is protected from unauthorized write access. Although it is protected by default, the file permissions could be changed either inadvertently or through malicious actions</t>
  </si>
  <si>
    <t xml:space="preserve">Ensure access to /etc/shells is configured </t>
  </si>
  <si>
    <t>It is critical to ensure that the /etc/shells file is protected from unauthorized write access. Although it is protected by default, the file permissions could be changed either inadvertently or through malicious actions</t>
  </si>
  <si>
    <t>Ensure access to /etc/security/opasswd is configured</t>
  </si>
  <si>
    <t>It is critical to ensure that the /etc/security/opasswd file is protected from unauthorized write access. Although it is protected by default, the file permissions could be changed either inadvertently or through malicious actions</t>
  </si>
  <si>
    <t>Ensure world writable files and directories are secured</t>
  </si>
  <si>
    <t>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t>
  </si>
  <si>
    <t>Ensure no files or directories without an owner and a group exist</t>
  </si>
  <si>
    <t>A new user or group who is assigned a deleted user's user ID or group ID may then end up "owning" a deleted user or group's files, and thus have more access on the system than was intended</t>
  </si>
  <si>
    <t>Ensure SUID and SGID files are reviewed</t>
  </si>
  <si>
    <t>There are valid reasons for SUID and SGID programs, but it is important to identify and review such programs to ensure they are legitimate</t>
  </si>
  <si>
    <t>Ensure accounts in /etc/passwd use shadowed passwords</t>
  </si>
  <si>
    <t>Ensure /etc/shadow password fields are not empty</t>
  </si>
  <si>
    <t>All accounts must have passwords or be locked to prevent the account from being used by an unauthorized user</t>
  </si>
  <si>
    <t>Ensure all groups in /etc/passwd exist in /etc/group</t>
  </si>
  <si>
    <t>Groups defined in the /etc/passwd file but not in the /etc/group file pose a threat to system security since group permissions are not properly managed</t>
  </si>
  <si>
    <t>Ensure shadow group is empty</t>
  </si>
  <si>
    <t>Any users assigned to the shadow group would be granted read access to the /etc/shadow file. If attackers can gain read access to the /etc/shadow file, they can easily run a password cracking program against the hashed passwords to break them. Other security information that is stored in the /etc/shadow file (such as expiration) could also be useful to subvert additional user accounts</t>
  </si>
  <si>
    <t xml:space="preserve">Ensure no duplicate UIDs exist </t>
  </si>
  <si>
    <t>Users must be assigned unique UIDs for accountability and to ensure appropriate access protections</t>
  </si>
  <si>
    <t xml:space="preserve">Ensure no duplicate GIDs exist </t>
  </si>
  <si>
    <t>User groups must be assigned unique GIDs for accountability and to ensure appropriate access protections</t>
  </si>
  <si>
    <t xml:space="preserve">Ensure no duplicate user names exist </t>
  </si>
  <si>
    <t>If a user is assigned a duplicate user name, it will create and have access to files with the first UID for that username in /etc/passwd . For example, if "test4" has a UID of 1000 and a subsequent "test4" entry has a UID of 2000, logging in as "test4" will use UID 1000. Effectively, the UID is shared, which is a security problem</t>
  </si>
  <si>
    <t>Ensure no duplicate group names exist</t>
  </si>
  <si>
    <t>If a group is assigned a duplicate group name, it will create and have access to files with the first GID for that group in /etc/group . Effectively, the GID is shared, which is a security problem</t>
  </si>
  <si>
    <t>Ensure local interactive user home directories are configured</t>
  </si>
  <si>
    <t>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t>
  </si>
  <si>
    <t>Ensure local interactive user dot files access is configured</t>
  </si>
  <si>
    <t>User configuration files with excessive or incorrect access may enable malicious users to steal or modify other users' data or to gain another user's system privileges</t>
  </si>
  <si>
    <t>6.1.1.1.1</t>
  </si>
  <si>
    <t>6.1.1.1.2</t>
  </si>
  <si>
    <t>6.1.1.1.3</t>
  </si>
  <si>
    <t>6.1.1.1.4</t>
  </si>
  <si>
    <t>6.1.1.1.5</t>
  </si>
  <si>
    <t>6.1.1.1.6</t>
  </si>
  <si>
    <t>Ensure journald service is active</t>
  </si>
  <si>
    <t>If the systemd-journald service is not enabled to start on boot, the system will not capture logging events</t>
  </si>
  <si>
    <t>Ensure journald log file access is configured</t>
  </si>
  <si>
    <t>It is important to ensure that log files have the correct permissions to ensure that sensitive data is archived and protected</t>
  </si>
  <si>
    <t>Ensure journald log file rotation is configured</t>
  </si>
  <si>
    <t>By keeping the log files smaller and more manageable, a system administrator can easily archive these files to another system and spend less time looking through inordinately large log files</t>
  </si>
  <si>
    <t>Ensure journald ForwardToSyslog is disabled</t>
  </si>
  <si>
    <t xml:space="preserve"> - IF - journald is the method for capturing logs, all logs of the system should be handled by journald and not forwarded to other logging mechanisms. Note: This recommendation only applies if journald is the chosen method for client side logging. Do not apply this recommendation if rsyslog is used</t>
  </si>
  <si>
    <t xml:space="preserve">Ensure journald Storage is configured </t>
  </si>
  <si>
    <t>Writing log data to disk will provide the ability to forensically reconstruct events which may have impacted the operations or security of a system even after a system crash or reboot</t>
  </si>
  <si>
    <t>Ensure journald Compress is configured</t>
  </si>
  <si>
    <t>Uncompressed large files may unexpectedly fill a filesystem leading to resource unavailability. Compressing logs prior to write can prevent sudden, unexpected filesystem impacts</t>
  </si>
  <si>
    <t>Ensure systemd-journal-remote is installed</t>
  </si>
  <si>
    <t>6.1.1.2.1</t>
  </si>
  <si>
    <t>6.1.1.2.2</t>
  </si>
  <si>
    <t>6.1.1.2.3</t>
  </si>
  <si>
    <t>6.1.1.2.4</t>
  </si>
  <si>
    <t>Storing log data on a remote host protects log integrity from local attacks. If an attacker gains root access on the local system, they could tamper with or remove log data that is stored on the local system. Note: This recommendation only applies if journald is the chosen method for client side logging. Do not apply this recommendation if rsyslog is used</t>
  </si>
  <si>
    <t>Ensure systemd-journal-upload authentication is configured</t>
  </si>
  <si>
    <t>Ensure systemd-journal-upload is enabled and active</t>
  </si>
  <si>
    <t>Ensure systemd-journal-remote service is not in use</t>
  </si>
  <si>
    <t>If a client is configured to also receive data, thus turning it into a server, the client system is acting outside it's operational boundary. Note: This recommendation only applies if journald is the chosen method for client side logging. Do not apply this recommendation if rsyslog is used</t>
  </si>
  <si>
    <t>Storing log data on a remote host protects log integrity from local attacks. If an attacker gains root access on the local system, they could tamper with or remove log data that is stored on the local system.</t>
  </si>
  <si>
    <t>Ensure rsyslog is installed</t>
  </si>
  <si>
    <t>6.1.2.1</t>
  </si>
  <si>
    <t>The security enhancements of rsyslog such as connection-oriented (i.e. TCP) transmission of logs, the option to log to database formats, and the encryption of log data en route to a central logging server) justify installing and configuring the package</t>
  </si>
  <si>
    <t>Ensure rsyslog service is enabled and active</t>
  </si>
  <si>
    <t>6.1.2.2</t>
  </si>
  <si>
    <t>6.1.2.3</t>
  </si>
  <si>
    <t>6.1.2.4</t>
  </si>
  <si>
    <t>6.1.2.5</t>
  </si>
  <si>
    <t>6.1.2.6</t>
  </si>
  <si>
    <t>6.1.2.7</t>
  </si>
  <si>
    <t>6.1.2.8</t>
  </si>
  <si>
    <t>6.1.2.9</t>
  </si>
  <si>
    <t>6.1.2.10</t>
  </si>
  <si>
    <t>6.1.2.11</t>
  </si>
  <si>
    <t>If the rsyslog service is not enabled to start on boot, the system will not capture logging events</t>
  </si>
  <si>
    <t>Ensure journald is configured to send logs to rsyslog</t>
  </si>
  <si>
    <t xml:space="preserve"> - IF - rsyslog is the preferred method for capturing logs, all logs of the system should be sent to it for further processing. Note: This recommendation only applies if rsyslog is the chosen method for client side logging. Do not apply this recommendation if systemd-journald is used</t>
  </si>
  <si>
    <t>Ensure rsyslog log file creation mode is configured</t>
  </si>
  <si>
    <t>Ensure rsyslog logging is configured</t>
  </si>
  <si>
    <t>A great deal of important security-related information is sent via rsyslog (e.g., successful and failed su attempts, failed login attempts, root login attempts, etc.)</t>
  </si>
  <si>
    <t>Ensure rsyslog is configured to send logs to a remote log host</t>
  </si>
  <si>
    <t>Storing log data on a remote host protects log integrity from local attacks. If an attacker gains root access on the local system, they could tamper with or remove log data that is stored on the local system</t>
  </si>
  <si>
    <t>Ensure rsyslog is not configured to receive logs from a remote client</t>
  </si>
  <si>
    <t>If a client is configured to also receive data, thus turning it into a server, the client system is acting outside its operational boundary</t>
  </si>
  <si>
    <t>Ensure logrotate is configured</t>
  </si>
  <si>
    <t>Ensure rsyslog-gnutls is installed</t>
  </si>
  <si>
    <t>Traditional syslog is a clear-text protocol that means anyone with a sniffer can have a peek at your data. rsyslog-gnutls is a secure communications library implementing the SSL, TLS and DTLS protocols and technologies around them, and provides an easy way to encrypt syslog communication</t>
  </si>
  <si>
    <t>Ensure rsyslog forwarding uses gtls</t>
  </si>
  <si>
    <t>StreamDriver must be set to gtls to enable TLS for encrypting syslog traffic</t>
  </si>
  <si>
    <t>Ensure rsyslog CA certificates are configured</t>
  </si>
  <si>
    <t>The certificate authority certificates ensures that the client only trusts and connects to rsyslog servers presenting a certificated signed by the CA preventing data leakage or exposure in transit</t>
  </si>
  <si>
    <t>Ensure access to all logfiles has been configured</t>
  </si>
  <si>
    <t>6.1.3.1</t>
  </si>
  <si>
    <t>It is important that log files have the correct permissions to ensure that sensitive data is protected and that only the appropriate users / groups have access to them</t>
  </si>
  <si>
    <t>Ensure auditd packages are installed</t>
  </si>
  <si>
    <t>6.2.1.1</t>
  </si>
  <si>
    <t>The capturing of system events provides system administrators with information to allow them to determine if unauthorized access to their system is occurring</t>
  </si>
  <si>
    <t>6.2.1.2</t>
  </si>
  <si>
    <t>6.2.1.3</t>
  </si>
  <si>
    <t>6.2.1.4</t>
  </si>
  <si>
    <t>Ensure auditd service is enabled and active</t>
  </si>
  <si>
    <t>Ensure auditing for processes that start prior to auditd is enabled</t>
  </si>
  <si>
    <t>Audit events need to be captured on processes that start up prior to auditd , so that potential malicious activity cannot go undetected</t>
  </si>
  <si>
    <t>Ensure audit_backlog_limit is configured</t>
  </si>
  <si>
    <t>If an audit event is logged which would grow the queue beyond the audit_backlog_limit, then a failure occurs, auditd records will be lost, and potential malicious activity could go undetected</t>
  </si>
  <si>
    <t>Ensure audit log storage size is configured</t>
  </si>
  <si>
    <t>6.2.2.1</t>
  </si>
  <si>
    <t>6.2.2.2</t>
  </si>
  <si>
    <t>6.2.2.3</t>
  </si>
  <si>
    <t>6.2.2.4</t>
  </si>
  <si>
    <t>It is important that an appropriate size is determined for log files so that they do not impact the system and audit data is not lost</t>
  </si>
  <si>
    <t>Ensure audit logs are not automatically deleted</t>
  </si>
  <si>
    <t>In high security contexts, the benefits of maintaining a long audit history exceed the cost of storing the audit history</t>
  </si>
  <si>
    <t>Ensure system is disabled when audit logs are full</t>
  </si>
  <si>
    <t>In high security contexts, the risk of detecting unauthorized access or nonrepudiation exceeds the benefit of the system's availability</t>
  </si>
  <si>
    <t>Ensure system warns when audit logs are low on space</t>
  </si>
  <si>
    <t>6.2.3.1</t>
  </si>
  <si>
    <t>6.2.3.2</t>
  </si>
  <si>
    <t>6.2.3.3</t>
  </si>
  <si>
    <t>6.2.3.4</t>
  </si>
  <si>
    <t>6.2.3.5</t>
  </si>
  <si>
    <t>6.2.3.6</t>
  </si>
  <si>
    <t>6.2.3.7</t>
  </si>
  <si>
    <t>6.2.3.8</t>
  </si>
  <si>
    <t>6.2.3.9</t>
  </si>
  <si>
    <t>6.2.3.10</t>
  </si>
  <si>
    <t>6.2.3.11</t>
  </si>
  <si>
    <t>6.2.3.12</t>
  </si>
  <si>
    <t>6.2.3.13</t>
  </si>
  <si>
    <t>6.2.3.14</t>
  </si>
  <si>
    <t>6.2.3.15</t>
  </si>
  <si>
    <t>6.2.3.16</t>
  </si>
  <si>
    <t>6.2.3.17</t>
  </si>
  <si>
    <t>6.2.3.18</t>
  </si>
  <si>
    <t>6.2.3.19</t>
  </si>
  <si>
    <t>6.2.3.20</t>
  </si>
  <si>
    <t>6.2.3.21</t>
  </si>
  <si>
    <t>6.2.3.22</t>
  </si>
  <si>
    <t>6.2.3.23</t>
  </si>
  <si>
    <t>6.2.3.24</t>
  </si>
  <si>
    <t>6.2.3.25</t>
  </si>
  <si>
    <t>6.2.3.26</t>
  </si>
  <si>
    <t>6.2.3.27</t>
  </si>
  <si>
    <t>6.2.3.28</t>
  </si>
  <si>
    <t>6.2.3.29</t>
  </si>
  <si>
    <t>6.2.3.30</t>
  </si>
  <si>
    <t>6.2.3.31</t>
  </si>
  <si>
    <t>6.2.3.32</t>
  </si>
  <si>
    <t>6.2.3.33</t>
  </si>
  <si>
    <t>6.2.3.34</t>
  </si>
  <si>
    <t>6.2.3.35</t>
  </si>
  <si>
    <t>6.2.3.36</t>
  </si>
  <si>
    <t>6.2.3.37</t>
  </si>
  <si>
    <t>Ensure modification of the /etc/sudoers file is collected</t>
  </si>
  <si>
    <t>Changes in the /etc/sudoers and /etc/sudoers.d files can indicate that an unauthorized change has been made to the scope of system administrator activity</t>
  </si>
  <si>
    <t>Ensure actions as another user are always logged</t>
  </si>
  <si>
    <t>Creating an audit log of users with temporary elevated privileges and the operation(s) they performed is essential to reporting</t>
  </si>
  <si>
    <t>Ensure events that modify the sudo log file are collected</t>
  </si>
  <si>
    <t>Changes in /var/log/sudo.log indicate that an administrator has executed a command or the log file itself has been tampered with</t>
  </si>
  <si>
    <t>Ensure events that modify date and time information are collected</t>
  </si>
  <si>
    <t>Unexpected changes in system date and/or time could be a sign of malicious activity on the system</t>
  </si>
  <si>
    <t>Ensure events that modify sethostname and setdomainname are collected</t>
  </si>
  <si>
    <t>Monitoring sethostname and setdomainname will identify potential unauthorized changes to host and domain name of a system. The changing of these names could potentially break security parameters that are set based on those names</t>
  </si>
  <si>
    <t>Ensure events that modify /etc/issue and /etc/issue.net are collected</t>
  </si>
  <si>
    <t>Monitoring /etc/issue and /etc/issue.net is important, as intruders could put disinformation into those files and trick users into providing information to the intruder</t>
  </si>
  <si>
    <t>Ensure events that modify /etc/hosts and /etc/hostname are collected</t>
  </si>
  <si>
    <t>The /etc/hosts file is monitored for changes that can indicate an unauthorized intruder is trying to change machine associations with IP addresses and trick users and processes into connecting to unintended machines</t>
  </si>
  <si>
    <t>Ensure events that modify the system's network environment are collected</t>
  </si>
  <si>
    <t>Monitoring the systems network environment is important as it can show if network interfaces or scripts are being modified in a way that can lead to the machine becoming unavailable or compromised. All audit records should have a relevant tag associated with them</t>
  </si>
  <si>
    <t>Ensure events that modify /etc/NetworkManager directory are collected</t>
  </si>
  <si>
    <t>Monitoring the /etc/NetworkManager/ directory will identify potential unauthorized changes to network configuration files</t>
  </si>
  <si>
    <t>Ensure use of privileged commands are collected</t>
  </si>
  <si>
    <t>Execution of privileged commands by non-privileged users could be an indication of someone trying to gain unauthorized access to the system</t>
  </si>
  <si>
    <t>Ensure unsuccessful file access attempts are collected</t>
  </si>
  <si>
    <t>Failed attempts to open, create or truncate files could be an indication that an individual or process is trying to gain unauthorized access to the system</t>
  </si>
  <si>
    <t>Ensure events that modify /etc/group information are collected</t>
  </si>
  <si>
    <t>Unexpected changes to these files could be an indication that the system has been compromised and that an unauthorized user is attempting to hide their activities or compromise additional accounts</t>
  </si>
  <si>
    <t>Ensure events that modify /etc/passwd information are collected</t>
  </si>
  <si>
    <t>Ensure events that modify /etc/shadow and /etc/gshadow are collected</t>
  </si>
  <si>
    <t xml:space="preserve">Ensure events that modify /etc/security/opasswd are collected </t>
  </si>
  <si>
    <t>Ensure events that modify /etc/nsswitch.conf file are collected</t>
  </si>
  <si>
    <t>Ensure events that modify /etc/pam.conf and /etc/pam.d/ information are collected</t>
  </si>
  <si>
    <t>Ensure discretionary access control permission modification events chmod,fchmod,fchmodat,fchmodat2 are collected</t>
  </si>
  <si>
    <t>Monitoring for changes in file attributes could alert a system administrator to activity that could indicate intruder activity or policy violation</t>
  </si>
  <si>
    <t>Ensure discretionary access control permission modification events chown,fchown,lchown,fchownat are collected</t>
  </si>
  <si>
    <t>Ensure discretionary access control permission modification events setxattr,lsetxattr,fsetxattr,removexattr,lremovexattr,fremovexattr collected</t>
  </si>
  <si>
    <t>Ensure successful file system mounts are collected</t>
  </si>
  <si>
    <t>Ensure session initiation information is collected</t>
  </si>
  <si>
    <t>Monitoring these files for changes could alert a system administrator to logins occurring at unusual hours, which could indicate intruder activity (i.e. a user logging in at a time when they do not normally log in)</t>
  </si>
  <si>
    <t>Ensure login and logout events are collected</t>
  </si>
  <si>
    <t>Monitoring login/logout events could provide a system administrator with information associated with brute force attacks against user logins</t>
  </si>
  <si>
    <t>Ensure unlink file deletion events by users are collected</t>
  </si>
  <si>
    <t>Monitoring these calls from non-privileged users could provide a system administrator with evidence that inappropriate removal of files and file attributes associated with protected files is occurring</t>
  </si>
  <si>
    <t>Ensure rename file deletion events by users are collected</t>
  </si>
  <si>
    <t>Ensure events that modify the system's Mandatory Access Controls are collected</t>
  </si>
  <si>
    <t>Changes to files in the /etc/apparmor/ and /etc/apparmor.d/ directories could indicate that an unauthorized user is attempting to modify access controls and change security contexts, leading to a compromise of the system</t>
  </si>
  <si>
    <t>Ensure successful and unsuccessful attempts to use the chcon command are collected</t>
  </si>
  <si>
    <t>The operating system must generate audit records for successful/unsuccessful uses of the chcon command</t>
  </si>
  <si>
    <t>Monitor the use of the mount system call. The mount (and umount ) system call controls the mounting and unmounting of file systems</t>
  </si>
  <si>
    <t xml:space="preserve">Ensure successful and unsuccessful attempts to use the setfacl command are collected </t>
  </si>
  <si>
    <t>The operating system must generate audit records for successful/unsuccessful uses of the setfacl command</t>
  </si>
  <si>
    <t>The operating system must generate audit records for successful/unsuccessful uses of the chacl command. chacl is an IRIX-compatibility command, and is maintained for those users who are familiar with its use from either XFS or IRIX</t>
  </si>
  <si>
    <t>Ensure successful and unsuccessful attempts to use the chacl command are collected</t>
  </si>
  <si>
    <t>Ensure successful and unsuccessful attempts to use the usermod command are collected</t>
  </si>
  <si>
    <t>The operating system must generate audit records for successful/unsuccessful uses of the usermod command</t>
  </si>
  <si>
    <t>Ensure kernel module loading unloading and modification is collected</t>
  </si>
  <si>
    <t>Monitoring the use of all the various ways to manipulate kernel modules could provide system administrators with evidence that an unauthorized change was made to a kernel module, possibly compromising the security of the system</t>
  </si>
  <si>
    <t>nsure kernel "init_module" and "finit_module" loading unloading and modification is collected</t>
  </si>
  <si>
    <t>Ensure kernel "delete_module" loading unloading and modification is collected</t>
  </si>
  <si>
    <t>Ensure kernel query_module loading unloading and modification is collected</t>
  </si>
  <si>
    <t>Ensure the audit configuration is loaded regardless of errors</t>
  </si>
  <si>
    <t>The default behaviour of auditctl is to stop loading any further rules if it encounters an error in the rules (for example a file watcher referencing a non-existent file)</t>
  </si>
  <si>
    <t>Ensure the audit configuration is immutable</t>
  </si>
  <si>
    <t>In immutable mode, unauthorized users cannot execute changes to the audit system to potentially hide malicious activity and then put the audit rules back</t>
  </si>
  <si>
    <t>Ensure the running and on disk configuration is the same</t>
  </si>
  <si>
    <t>Configuration differences between what is currently running and what is on disk could cause unexpected problems or may give a false impression of compliance requirements</t>
  </si>
  <si>
    <t>Ensure audit log files mode is configured</t>
  </si>
  <si>
    <t>Access to audit records can reveal system and configuration data to attackers, potentially compromising its confidentiality</t>
  </si>
  <si>
    <t>6.2.4.1</t>
  </si>
  <si>
    <t>6.2.4.2</t>
  </si>
  <si>
    <t>6.2.4.3</t>
  </si>
  <si>
    <t>6.2.4.4</t>
  </si>
  <si>
    <t>6.2.4.5</t>
  </si>
  <si>
    <t>6.2.4.6</t>
  </si>
  <si>
    <t>6.2.4.7</t>
  </si>
  <si>
    <t>6.2.4.8</t>
  </si>
  <si>
    <t>6.2.4.9</t>
  </si>
  <si>
    <t>6.2.4.10</t>
  </si>
  <si>
    <t>Ensure audit log files owner is configured</t>
  </si>
  <si>
    <t>Ensure audit log files group owner is configured</t>
  </si>
  <si>
    <t>Ensure the audit log file directory mode is configured</t>
  </si>
  <si>
    <t>Audit information includes all information including: audit records, audit settings and audit reports. This information is needed to successfully audit system activity. This information must be protected from unauthorized modification or deletion</t>
  </si>
  <si>
    <t>Ensure audit configuration files mode is configured</t>
  </si>
  <si>
    <t>Access to the audit configuration files could allow unauthorized personnel to prevent the auditing of critical events. Misconfigured audit configuration files may prevent the auditing of critical events or impact the system's performance by overwhelming the audit log. Misconfiguration of the audit configuration files may also make it more difficult to establish and investigate events relating to an incident</t>
  </si>
  <si>
    <t>Ensure audit configuration files owner is configured</t>
  </si>
  <si>
    <t>Ensure audit configuration files group owner is configured</t>
  </si>
  <si>
    <t>Ensure audit tools mode is configured</t>
  </si>
  <si>
    <t>Protecting audit information includes identifying and protecting the tools used to view and manipulate log data. Protecting audit tools is necessary to prevent unauthorized operation on audit information</t>
  </si>
  <si>
    <t>Ensure audit tools owner is configured</t>
  </si>
  <si>
    <t>Ensure audit tools group owner is configured</t>
  </si>
  <si>
    <t xml:space="preserve">Ensure AIDE is installed </t>
  </si>
  <si>
    <t>6.3.1</t>
  </si>
  <si>
    <t>6.3.2</t>
  </si>
  <si>
    <t>6.3.3</t>
  </si>
  <si>
    <t>By monitoring the filesystem state compromised files can be detected to prevent or limit the exposure of accidental or malicious misconfigurations or modified binaries</t>
  </si>
  <si>
    <t>Ensure filesystem integrity is regularly checked</t>
  </si>
  <si>
    <t>Periodic file checking allows the system administrator to determine on a regular basis if critical files have been changed in an unauthorized fashion</t>
  </si>
  <si>
    <t>Ensure cryptographic mechanisms are used to protect the integrity of audit tools</t>
  </si>
  <si>
    <t>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t>
  </si>
  <si>
    <t>Mandatory Access Control</t>
  </si>
  <si>
    <t>Configure AppArmor</t>
  </si>
  <si>
    <t>Configure Bootloader</t>
  </si>
  <si>
    <t>Configure Additional Process Hardening</t>
  </si>
  <si>
    <t>Configure Command Line Warning Banners</t>
  </si>
  <si>
    <t>Configure GNOME Display Manager</t>
  </si>
  <si>
    <t>Services</t>
  </si>
  <si>
    <t>Configure Server Services</t>
  </si>
  <si>
    <t>Configure Client Services</t>
  </si>
  <si>
    <t>Configure Time Synchronization</t>
  </si>
  <si>
    <t>Ensure time synchronization is in use</t>
  </si>
  <si>
    <t xml:space="preserve"> Configure systemd-timesyncd</t>
  </si>
  <si>
    <t>Configure chrony</t>
  </si>
  <si>
    <t>Job Schedulers</t>
  </si>
  <si>
    <t>Configure cron</t>
  </si>
  <si>
    <t>Configure at</t>
  </si>
  <si>
    <t>Network</t>
  </si>
  <si>
    <t>Configure Network Devices</t>
  </si>
  <si>
    <t>Configure Network Kernel Modules</t>
  </si>
  <si>
    <t>Configure Network Kernel Parameters</t>
  </si>
  <si>
    <t>Configure IPv4 parameters</t>
  </si>
  <si>
    <t>Configure IPv6 parameters</t>
  </si>
  <si>
    <t>Host Based Firewall</t>
  </si>
  <si>
    <t>Configure Uncomplicated Firewall</t>
  </si>
  <si>
    <t>Access Control</t>
  </si>
  <si>
    <t>Configure SSH Server</t>
  </si>
  <si>
    <t>Configure privilege escalation</t>
  </si>
  <si>
    <t>Pluggable Authentication Modules</t>
  </si>
  <si>
    <t>Configure PAM software packages</t>
  </si>
  <si>
    <t>Configure pam-auth-update profiles</t>
  </si>
  <si>
    <t>Configure PAM Arguments</t>
  </si>
  <si>
    <t>Configure pam_faillock module</t>
  </si>
  <si>
    <t>Configure pam_pwquality module</t>
  </si>
  <si>
    <t>Configure pam_pwhistory module</t>
  </si>
  <si>
    <t>Configure pam_unix module</t>
  </si>
  <si>
    <t>User Accounts and Environment</t>
  </si>
  <si>
    <t>Configure shadow password suite parameters</t>
  </si>
  <si>
    <t>Configure root and system accounts and environment</t>
  </si>
  <si>
    <t>Configure user default environment</t>
  </si>
  <si>
    <t>Logging and Auditing</t>
  </si>
  <si>
    <t>System Logging</t>
  </si>
  <si>
    <t>Configure journald</t>
  </si>
  <si>
    <t>Configure systemd-journald service</t>
  </si>
  <si>
    <t>Configure systemd-journal-remote</t>
  </si>
  <si>
    <t>Configure rsyslog</t>
  </si>
  <si>
    <t>Configure Logfiles</t>
  </si>
  <si>
    <t>System Auditing</t>
  </si>
  <si>
    <t>Configure auditd Service</t>
  </si>
  <si>
    <t>Configure Data Retention</t>
  </si>
  <si>
    <t>Configure auditd Rules</t>
  </si>
  <si>
    <t>Configure auditd File Access</t>
  </si>
  <si>
    <t>Configure Integrity Checking</t>
  </si>
  <si>
    <t>System Maintenance</t>
  </si>
  <si>
    <t>Configure system file and directory access</t>
  </si>
  <si>
    <t>Local User and Group Settings</t>
  </si>
  <si>
    <t>1.3.1.5</t>
  </si>
  <si>
    <t>1.3.1.6</t>
  </si>
  <si>
    <t>1.3.1.7</t>
  </si>
  <si>
    <t>1.3.1.8</t>
  </si>
  <si>
    <t>Configure SELinux</t>
  </si>
  <si>
    <t>Configure system wide crypto policy</t>
  </si>
  <si>
    <t>1.8.1</t>
  </si>
  <si>
    <t>1.8.2</t>
  </si>
  <si>
    <t>1.8.3</t>
  </si>
  <si>
    <t>1.8.4</t>
  </si>
  <si>
    <t>1.8.5</t>
  </si>
  <si>
    <t>1.8.6</t>
  </si>
  <si>
    <t>Ensure GDM disable-user-list option is configured</t>
  </si>
  <si>
    <t>Ensure GDM autorun-never is configured</t>
  </si>
  <si>
    <t>Ensure GDM automount is configured</t>
  </si>
  <si>
    <t>Ensure GDM screen lock is configured</t>
  </si>
  <si>
    <t>2.3.1</t>
  </si>
  <si>
    <t>2.3.2</t>
  </si>
  <si>
    <t>2.3.3</t>
  </si>
  <si>
    <t>Configure firewalld</t>
  </si>
  <si>
    <t>6.1.1</t>
  </si>
  <si>
    <t>6.1.2</t>
  </si>
  <si>
    <t>6.1.3</t>
  </si>
  <si>
    <t>В CIS RHEL поплывшая нумерация контролей journald</t>
  </si>
  <si>
    <t>Сохранено логичное оглавление и расположение пунктов, но использованы фактические номера из бенчмарка</t>
  </si>
  <si>
    <t>ВНИМАНИЕ! Битая нумерация</t>
  </si>
  <si>
    <t>6.2.2.1.1</t>
  </si>
  <si>
    <t>6.2.2.1.2</t>
  </si>
  <si>
    <t>6.2.2.1.3</t>
  </si>
  <si>
    <t>6.2.2.1.4</t>
  </si>
  <si>
    <t>6.3.1.1</t>
  </si>
  <si>
    <t>6.3.1.2</t>
  </si>
  <si>
    <t>6.3.1.3</t>
  </si>
  <si>
    <t>6.3.1.4</t>
  </si>
  <si>
    <t>6.3.2.1</t>
  </si>
  <si>
    <t>6.3.2.2</t>
  </si>
  <si>
    <t>6.3.2.3</t>
  </si>
  <si>
    <t>6.3.2.4</t>
  </si>
  <si>
    <t>6.3.3.1</t>
  </si>
  <si>
    <t>6.3.3.2</t>
  </si>
  <si>
    <t>6.3.3.3</t>
  </si>
  <si>
    <t>6.3.3.4</t>
  </si>
  <si>
    <t>6.3.3.5</t>
  </si>
  <si>
    <t>6.3.3.6</t>
  </si>
  <si>
    <t>6.3.3.7</t>
  </si>
  <si>
    <t>6.3.3.8</t>
  </si>
  <si>
    <t>6.3.3.9</t>
  </si>
  <si>
    <t>6.3.3.10</t>
  </si>
  <si>
    <t>6.3.3.11</t>
  </si>
  <si>
    <t>6.3.3.12</t>
  </si>
  <si>
    <t>6.3.3.13</t>
  </si>
  <si>
    <t>6.3.3.14</t>
  </si>
  <si>
    <t>6.3.3.15</t>
  </si>
  <si>
    <t>6.3.3.16</t>
  </si>
  <si>
    <t>6.3.3.17</t>
  </si>
  <si>
    <t>6.3.3.18</t>
  </si>
  <si>
    <t>6.3.3.19</t>
  </si>
  <si>
    <t>6.3.3.20</t>
  </si>
  <si>
    <t>6.3.3.21</t>
  </si>
  <si>
    <t>6.3.3.22</t>
  </si>
  <si>
    <t>6.3.3.23</t>
  </si>
  <si>
    <t>6.3.3.24</t>
  </si>
  <si>
    <t>6.3.3.25</t>
  </si>
  <si>
    <t>6.3.3.26</t>
  </si>
  <si>
    <t>6.3.3.27</t>
  </si>
  <si>
    <t>6.3.3.28</t>
  </si>
  <si>
    <t>6.3.3.29</t>
  </si>
  <si>
    <t>6.3.3.30</t>
  </si>
  <si>
    <t>6.3.3.31</t>
  </si>
  <si>
    <t>6.3.3.32</t>
  </si>
  <si>
    <t>6.3.3.33</t>
  </si>
  <si>
    <t>6.3.3.34</t>
  </si>
  <si>
    <t>6.3.3.35</t>
  </si>
  <si>
    <t>6.3.3.36</t>
  </si>
  <si>
    <t>6.3.3.37</t>
  </si>
  <si>
    <t>6.3.4.1</t>
  </si>
  <si>
    <t>6.3.4.2</t>
  </si>
  <si>
    <t>6.3.4.3</t>
  </si>
  <si>
    <t>6.3.4.4</t>
  </si>
  <si>
    <t>6.3.4.5</t>
  </si>
  <si>
    <t>6.3.4.6</t>
  </si>
  <si>
    <t>6.3.4.7</t>
  </si>
  <si>
    <t>6.3.4.8</t>
  </si>
  <si>
    <t>6.3.4.9</t>
  </si>
  <si>
    <t>6.3.4.10</t>
  </si>
  <si>
    <t>CIS Linux (Debian)</t>
  </si>
  <si>
    <t>CIS Linux (RHEL)</t>
  </si>
  <si>
    <t>7.2.5, 7.2.7</t>
  </si>
  <si>
    <t>5.1.21, 5.4.2.1, 5.4.2.7, 5.4.2.8</t>
  </si>
  <si>
    <t>2.3.1.1, 2.3.2.1, 2.3.2.2, 2.3.3.1, 2.3.3.2, 2.3.3.3</t>
  </si>
  <si>
    <t>5.2.1, 5.2.2, 5.2.3, 5.2.4, 5.2.5, 5.2.6, 5.2.7</t>
  </si>
  <si>
    <t>5.1.7, 5.1.8, 5.1.11, 5.1.14, 5.1.17, 5.1.21, 5.1.23</t>
  </si>
  <si>
    <t>5.1.2, 5.1.4, 5.1.20, 5.1.23</t>
  </si>
  <si>
    <t>6.1.1.1.1, 6.1.1.1.2, 6.1.1.1.3, 6.1.1.1.4, 6.1.1.1.5, 6.1.1.1.6, 6.1.1.2.1, 6.1.1.2.2, 6.1.1.2.3, 6.1.1.2.4, 6.1.2.1, 6.1.2.2, 6.1.2.3, 6.1.2.4, 6.1.2.5, 6.1.2.6, 6.1.2.7, 6.1.2.8, 6.1.2.9, 6.1.2.10, 6.1.2.11, 6.2.1.1, 6.2.1.2, 6.2.1.3, 6.2.1.4, 6.2.2.1, 6.2.2.2, 6.2.2.3, 6.2.2.4, 6.2.3.1, 6.2.3.2, 6.2.3.3, 6.2.3.4, 6.2.3.5, 6.2.3.6, 6.2.3.7, 6.2.3.8, 6.2.3.9, 6.2.3.10, 6.2.3.11, 6.2.3.12, 6.2.3.13, 6.2.3.14, 6.2.3.15, 6.2.3.16, 6.2.3.17, 6.2.3.18, 6.2.3.19, 6.2.3.20, 6.2.3.21, 6.2.3.22, 6.2.3.23, 6.2.3.24, 6.2.3.25, 6.2.3.26, 6.2.3.27, 6.2.3.28, 6.2.3.29, 6.2.3.30, 6.2.3.31, 6.2.3.32, 6.2.3.33, 6.2.3.33, 6.2.3.34, 6.2.3.35, 6.2.3.36, 6.2.3.37</t>
  </si>
  <si>
    <t>2.1.1, 2.1.2, 2.1.3, 2.1.4, 2.1.5, 2.1.6, 2.1.7, 2.1.8, 2.1.9, 2.1.10, 2.1.11, 2.1.12, 2.1.13, 2.1.14, 2.1.15, 2.1.16, 2.1.17, 2.1.18, 2.1.19, 2.1.20, 2.1.21, 2.1.22, 2.1.23</t>
  </si>
  <si>
    <t>4.1.1, 4.1.2, 4.1.3, 4.1.4, 4.1.5</t>
  </si>
  <si>
    <t>2.2.1, 2.2.2, 2.2.3, 2.2.4, 2.2.5, 2.2.6</t>
  </si>
  <si>
    <t>7.2.4, 7.2.6</t>
  </si>
  <si>
    <t>5.1.20, 5.4.2.1, 5.4.2.7, 5.4.2.8</t>
  </si>
  <si>
    <t>2.3.1, 2.3.2, 2.3.3</t>
  </si>
  <si>
    <t>5.1.2, 5.1.4, 5.1.19, 5.1.22</t>
  </si>
  <si>
    <t>2.1.1, 2.1.2, 2.1.3, 2.1.4, 2.1.5, 2.1.6, 2.1.7, 2.1.8, 2.1.9, 2.1.10, 2.1.11, 2.1.12, 2.1.13, 2.1.14, 2.1.15, 2.1.16, 2.1.17, 2.1.18, 2.1.19, 2.1.20, 2.1.21, 2.1.22</t>
  </si>
  <si>
    <t>4.1.1, 4.1.2, 4.1.3, 4.1.4, 4.1.5, 4.1.6, 4.1.7</t>
  </si>
  <si>
    <t>2.2.1, 2.2.2, 2.2.3, 2.2.4</t>
  </si>
  <si>
    <t>6.2.1.1, 6.2.1.2, 6.2.1.3, 6.2.1.4, 6.2.2.1.1, 6.2.2.1.2, 6.2.2.1.3, 6.2.2.1.4, 6.2.2.2, 6.2.2.3, 6.2.2.4, 6.2.3.1, 6.2.3.2, 6.2.3.3, 6.2.3.4, 6.2.3.5, 6.2.3.6, 6.2.3.7, 6.2.3.8, 6.3.1.1, 6.3.1.2, 6.3.1.3, 6.3.1.4, 6.3.2.1, 6.3.2.2, 6.3.2.3, 6.3.2.4, 6.3.3.1, 6.3.3.2, 6.3.3.3, 6.3.3.4, 6.3.3.5, 6.3.3.6, 6.3.3.7, 6.3.3.8, 6.3.3.9, 6.3.3.10, 6.3.3.11, 6.3.3.12, 6.3.3.13, 6.3.3.14, 6.3.3.15, 6.3.3.16, 6.3.3.17, 6.3.3.18, 6.3.3.19, 6.3.3.20, 6.3.3.21, 6.3.3.22, 6.3.3.23, 6.3.3.24, 6.3.3.25, 6.3.3.26, 6.3.3.27, 6.3.3.28, 6.3.3.29, 6.3.3.30, 6.3.3.31, 6.3.3.32, 6.3.3.33, 6.3.3.33, 6.3.3.34, 6.3.3.35, 6.3.3.36, 6.3.3.37</t>
  </si>
  <si>
    <t xml:space="preserve"> - </t>
  </si>
  <si>
    <t>Nodes-1-3; Nodes-1-5; Nodes-2-2; Nodes-2-6; Nodes-3-5</t>
  </si>
  <si>
    <t>5.1.7, 5.1.8, 5.1.11, 5.1.13, 5.1.16, 5.1.20, 5.1.22</t>
  </si>
  <si>
    <t>Nodes-1-2; Nodes-2-7</t>
  </si>
  <si>
    <t>Nodes-2-7; Nodes-2-8</t>
  </si>
  <si>
    <t>5.3.1.1, 5.3.1.2, 5.3.1.3, 5.3.2.1, 5.3.2.2, 5.3.2.3, 5.3.2.4, 5.3.3.1.1, 5.3.3.1.2, 5.3.3.1.3, 5.3.3.2.1, 5.3.3.2.2, 5.3.3.2.3, 5.3.3.2.4, 5.3.3.2.5, 5.3.3.2.6, 5.3.3.2.7, 5.3.3.2.8, 5.3.3.3.1, 5.3.3.3.2, 5.3.3.3.3,  5.4.1.1, 5.4.1.2, 5.4.1.3</t>
  </si>
  <si>
    <t>5.3.2.1.1</t>
  </si>
  <si>
    <t>5.3.2.1.2</t>
  </si>
  <si>
    <t>5.3.2.1.3</t>
  </si>
  <si>
    <t>5.3.2.2.1</t>
  </si>
  <si>
    <t>5.3.2.2.2</t>
  </si>
  <si>
    <t>5.3.2.2.3</t>
  </si>
  <si>
    <t>5.3.2.2.4</t>
  </si>
  <si>
    <t>5.3.2.2.5</t>
  </si>
  <si>
    <t>5.3.2.2.6</t>
  </si>
  <si>
    <t>5.3.2.2.7</t>
  </si>
  <si>
    <t>5.3.2.3.1</t>
  </si>
  <si>
    <t>5.3.2.3.2</t>
  </si>
  <si>
    <t>5.3.2.3.3</t>
  </si>
  <si>
    <t>5.3.2.4.1</t>
  </si>
  <si>
    <t>5.3.2.4.2</t>
  </si>
  <si>
    <t>5.3.2.4.3</t>
  </si>
  <si>
    <t>5.3.2.4.4</t>
  </si>
  <si>
    <t>5.3.1.1, 5.3.1.2, 5.3.1.3, 5.3.1.4, 5.3.1.5, 5.3.2.1.1, 5.3.2.1.2, 5.3.2.1.3, 5.3.2.2.1, 5.3.2.2.2, 5.3.2.2.3, 5.3.2.2.4, 5.3.2.2.5, 5.3.2.2.6, 5.3.2.2.7, 5.3.2.3.1, 5.3.2.3.2, 5.3.2.3.3,  5.4.1.1, 5.4.1.2, 5.4.1.3</t>
  </si>
  <si>
    <t>Не заполнено</t>
  </si>
  <si>
    <t xml:space="preserve">Ensure GPG keys are configured </t>
  </si>
  <si>
    <t>It is important to ensure that updates are obtained from a valid source to protect against spoofing that could lead to the inadvertent installation of malware on the system. To this end, verify that GPG keys are configured correctly for your system</t>
  </si>
  <si>
    <t>Ensure gpgcheck is configured</t>
  </si>
  <si>
    <t>It is important to ensure that an RPM's package signature is always checked prior to installation to ensure that the software is obtained from a trusted source</t>
  </si>
  <si>
    <t xml:space="preserve">Ensure repo_gpgcheck is globally activated </t>
  </si>
  <si>
    <t>It is important to ensure that the repository data signature is always checked prior to installation to ensure that the software is not tampered with in any way</t>
  </si>
  <si>
    <t>Ensure package manager repositories are configured</t>
  </si>
  <si>
    <t>If a system's package repositories are misconfigured, important patches may not be identified or a rogue repository could introduce compromised software</t>
  </si>
  <si>
    <t xml:space="preserve">Ensure weak dependencies are configured </t>
  </si>
  <si>
    <t xml:space="preserve">Ensure SELinux is installed </t>
  </si>
  <si>
    <t>Ensure SELinux is not disabled in bootloader configuration</t>
  </si>
  <si>
    <t>SELinux must be enabled at boot time in your grub configuration to ensure that the controls it provides are not overridden</t>
  </si>
  <si>
    <t>Ensure SELinux policy is configured</t>
  </si>
  <si>
    <t>Security configuration requirements vary from site to site. Some sites may mandate a policy that is stricter than the default policy, which is perfectly acceptable. This item is intended to ensure that at least the default recommendations are met</t>
  </si>
  <si>
    <t xml:space="preserve">Ensure the SELinux mode is not disabled </t>
  </si>
  <si>
    <t>Running SELinux in disabled mode is strongly discouraged; not only does the system avoid enforcing the SELinux policy, it also avoids labeling any persistent objects such as files, making it difficult to enable SELinux in the future</t>
  </si>
  <si>
    <t xml:space="preserve">Ensure the SELinux mode is enforcing </t>
  </si>
  <si>
    <t>Running SELinux in disabled mode is strongly discouraged; not only does the system avoid enforcing the SELinux policy, it also avoids labeling any persistent objects such as files, making it difficult to enable SELinux in the future. Running SELinux in Permissive mode, though helpful for developing SELinux policy, only logs access denial entries, but does not deny any operations</t>
  </si>
  <si>
    <t>Ensure no unconfined services exist</t>
  </si>
  <si>
    <t>For unconfined processes, SELinux policy rules are applied, but policy rules exist that allow processes running in unconfined domains almost all access. Processes running in unconfined domains fall back to using DAC rules exclusively. If an unconfined process is compromised, SELinux does not prevent an attacker from gaining access to system resources and data, but of course, DAC rules are still used. SELinux is a security enhancement on top of DAC rules – it does not replace them</t>
  </si>
  <si>
    <t>Ensure the MCS Translation Service (mcstrans) is not installed</t>
  </si>
  <si>
    <t>Since this service is not used very often, remove it to reduce the amount of potentially vulnerable code running on the system</t>
  </si>
  <si>
    <t xml:space="preserve">Ensure SETroubleshoot is not installed </t>
  </si>
  <si>
    <t>The SETroubleshoot service is an unnecessary daemon to have running on a server, especially if X Windows is disabled</t>
  </si>
  <si>
    <t>Ensure system wide crypto policy is not set to legacy</t>
  </si>
  <si>
    <t>The LEGACY system-wide crypto policy includes support for outdated and weakened algorithms to ensure maximum compatibility with Red Hat Enterprise Linux 6 and earlier; it is less secure due to an increased attack surface. These legacy protocols and algorithms can make the system vulnerable to attacks, including those listed in RFC 7457</t>
  </si>
  <si>
    <t>Ensure system wide crypto policy disables sha1 hash and signature support</t>
  </si>
  <si>
    <t>The SHA-1 hash function has an inherently weak design, and advancing cryptanalysis has made it vulnerable to attacks. The most significant danger for a hash algorithm is when a "collision" which happens when two different pieces of data produce the same hash value occurs. This hashing algorithm has been considered weak since 2005</t>
  </si>
  <si>
    <t>Ensure system wide crypto policy macs are configured</t>
  </si>
  <si>
    <t>A MAC algorithm must be computationally infeasible to determine the MAC of a message without knowledge of the key, even if one has already seen the results of using that key to compute the MAC's of other messages</t>
  </si>
  <si>
    <t>Ensure system wide crypto policy disables cbc for ssh</t>
  </si>
  <si>
    <t>A vulnerability exists in SSH messages that employ CBC mode that may allow an attacker to recover plaintext from a block of ciphertext</t>
  </si>
  <si>
    <t>Ensure cockpit web services are not in use</t>
  </si>
  <si>
    <t>Unless there is a local site approved requirement for remote web based administration on the system, cockpit web server packages should be removed to reduce the potential attack surface</t>
  </si>
  <si>
    <t xml:space="preserve">Ensure GNOME Display Manager is removed </t>
  </si>
  <si>
    <t>Time synchronization is important to support time sensitive security mechanisms like Kerberos and also ensures log files have consistent time records across the enterprise, which aids in forensic investigations</t>
  </si>
  <si>
    <t>Ensure chrony is configured</t>
  </si>
  <si>
    <t>Ensure chrony is not run as the root user</t>
  </si>
  <si>
    <t>Services should not be set to run as the root user</t>
  </si>
  <si>
    <t>Ensure tftp client is not installed</t>
  </si>
  <si>
    <t>TFTP does not have built-in encryption, access control or authentication. This makes it very easy for an attacker to exploit TFTP to gain access to files</t>
  </si>
  <si>
    <t>Ensure active authselect profile includes pam modules</t>
  </si>
  <si>
    <t>5.3.1.4</t>
  </si>
  <si>
    <t>5.3.1.5</t>
  </si>
  <si>
    <t>Configure authselect</t>
  </si>
  <si>
    <t>Ensure firewalld is installed</t>
  </si>
  <si>
    <t>firewalld is a dynamic, user friendly, firewall manager that can protect against threats originating from within a corporate network to include malicious mobile code and poorly configured software on a host</t>
  </si>
  <si>
    <t xml:space="preserve">Ensure firewalld backend is configured </t>
  </si>
  <si>
    <t>IPTables are deprecated</t>
  </si>
  <si>
    <t>Ensure firewalld.service is configured</t>
  </si>
  <si>
    <t>firewalld.service must be active to enforce rules configured through FirewallD. firewalld.service must be enabled to start automatically after a system reboot</t>
  </si>
  <si>
    <t>Ensure firewalld active zone target is configured</t>
  </si>
  <si>
    <t>Ensure firewalld loopback traffic is configured</t>
  </si>
  <si>
    <t>Loopback traffic is generated between processes on machine and is typically critical to operation of the system. The loopback interface is the only place that loopback network traffic should be seen, all other interfaces should ignore traffic on this network as an anti-spoofing measure</t>
  </si>
  <si>
    <t>Ensure firewalld loopback source address traffic is configured</t>
  </si>
  <si>
    <t>The loopback interface is the only place that loopback network traffic should be seen, all other interfaces should ignore traffic on this network as an anti-spoofing measure</t>
  </si>
  <si>
    <t>Ensure firewalld services and ports are configured</t>
  </si>
  <si>
    <t>To reduce the attack surface of a system, all services and ports should be blocked unless required</t>
  </si>
  <si>
    <t>OpenVAS</t>
  </si>
  <si>
    <t>kube-bench</t>
  </si>
  <si>
    <t>OPA GateKeeper
/etc/docker/daemon.json наличие плагина OPA или аналог</t>
  </si>
  <si>
    <t>trivy
trufflehog</t>
  </si>
  <si>
    <t>trivy</t>
  </si>
  <si>
    <t>trivy
syft
cdxgen</t>
  </si>
  <si>
    <t>Cosign
В случае, если запуск контейнера из некорректно подписанного образа блокируется на уровне оркестратора - контроль выполняется полностью. Если осуществляется проверка без блокировки - данный контроль выполняется частично (0.5 балла)</t>
  </si>
  <si>
    <t>Falco?</t>
  </si>
  <si>
    <t>Orch-3-7</t>
  </si>
  <si>
    <t>Все соединения между сервисами шифруются при помощи mTLS</t>
  </si>
  <si>
    <t>Nodes-2-13</t>
  </si>
  <si>
    <t>Сертификат, используемый для коммуникации между узлами SWARM роитруется не реже 90 дней (значение по умолчанию)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</si>
</sst>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4" x14ac:knownFonts="1">
    <font>
      <sz val="11"/>
      <color theme="1"/>
      <name val="Calibri"/>
      <family val="2"/>
      <charset val="204"/>
      <scheme val="minor"/>
    </font>
    <font>
      <sz val="11"/>
      <color theme="1"/>
      <name val="Calibri"/>
      <family val="2"/>
      <scheme val="minor"/>
    </font>
    <font>
      <b/>
      <sz val="11"/>
      <color theme="1"/>
      <name val="Calibri"/>
      <family val="2"/>
      <charset val="204"/>
      <scheme val="minor"/>
    </font>
    <font>
      <sz val="10"/>
      <color theme="1"/>
      <name val="Calibri"/>
      <family val="2"/>
      <charset val="204"/>
      <scheme val="minor"/>
    </font>
    <font>
      <b/>
      <sz val="28"/>
      <color rgb="FF000000"/>
      <name val="Segoe UI Black"/>
      <family val="2"/>
      <charset val="204"/>
    </font>
    <font>
      <b/>
      <sz val="11"/>
      <color theme="0"/>
      <name val="Calibri"/>
      <family val="2"/>
      <charset val="204"/>
      <scheme val="minor"/>
    </font>
    <font>
      <b/>
      <sz val="14"/>
      <color theme="1"/>
      <name val="Calibri"/>
      <family val="2"/>
      <charset val="204"/>
      <scheme val="minor"/>
    </font>
    <font>
      <sz val="11"/>
      <name val="Calibri"/>
      <family val="2"/>
      <charset val="204"/>
      <scheme val="minor"/>
    </font>
    <font>
      <sz val="11"/>
      <color theme="0"/>
      <name val="Calibri"/>
      <family val="2"/>
      <scheme val="minor"/>
    </font>
    <font>
      <sz val="12"/>
      <color theme="1"/>
      <name val="Calibri"/>
      <family val="2"/>
      <scheme val="minor"/>
    </font>
    <font>
      <b/>
      <sz val="11"/>
      <color theme="1"/>
      <name val="Calibri"/>
      <family val="2"/>
      <scheme val="minor"/>
    </font>
    <font>
      <sz val="11"/>
      <color theme="1"/>
      <name val="Calibri"/>
      <family val="2"/>
      <charset val="204"/>
      <scheme val="minor"/>
    </font>
    <font>
      <sz val="11"/>
      <color theme="0"/>
      <name val="Calibri"/>
      <family val="2"/>
      <charset val="204"/>
      <scheme val="minor"/>
    </font>
    <font>
      <b/>
      <sz val="12"/>
      <name val="Calibri"/>
      <family val="2"/>
      <charset val="204"/>
      <scheme val="minor"/>
    </font>
    <font>
      <sz val="72"/>
      <color theme="1"/>
      <name val="Calibri"/>
      <family val="2"/>
      <charset val="204"/>
      <scheme val="minor"/>
    </font>
    <font>
      <b/>
      <u/>
      <sz val="14"/>
      <color theme="1"/>
      <name val="Calibri"/>
      <family val="2"/>
      <charset val="204"/>
      <scheme val="minor"/>
    </font>
    <font>
      <u/>
      <sz val="11"/>
      <color theme="1"/>
      <name val="Calibri"/>
      <family val="2"/>
      <scheme val="minor"/>
    </font>
    <font>
      <b/>
      <sz val="11"/>
      <name val="Calibri"/>
      <family val="2"/>
      <charset val="204"/>
      <scheme val="minor"/>
    </font>
    <font>
      <b/>
      <sz val="12"/>
      <color theme="1"/>
      <name val="Calibri"/>
      <family val="2"/>
      <charset val="204"/>
      <scheme val="minor"/>
    </font>
    <font>
      <sz val="12"/>
      <color theme="1"/>
      <name val="Calibri"/>
      <family val="2"/>
      <charset val="204"/>
      <scheme val="minor"/>
    </font>
    <font>
      <sz val="8"/>
      <name val="Calibri"/>
      <family val="2"/>
      <charset val="204"/>
      <scheme val="minor"/>
    </font>
    <font>
      <sz val="14"/>
      <color theme="1"/>
      <name val="Calibri"/>
      <family val="2"/>
      <charset val="204"/>
      <scheme val="minor"/>
    </font>
    <font>
      <b/>
      <sz val="14"/>
      <color theme="1"/>
      <name val="Segoe UI"/>
      <family val="2"/>
      <charset val="204"/>
    </font>
    <font>
      <b/>
      <sz val="11"/>
      <color theme="0"/>
      <name val="Segoe UI"/>
      <family val="2"/>
      <charset val="204"/>
    </font>
  </fonts>
  <fills count="18">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rgb="FFFF0000"/>
        <bgColor indexed="64"/>
      </patternFill>
    </fill>
    <fill>
      <patternFill patternType="solid">
        <fgColor theme="8" tint="0.39997558519241921"/>
        <bgColor indexed="65"/>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FE699"/>
        <bgColor indexed="64"/>
      </patternFill>
    </fill>
    <fill>
      <patternFill patternType="solid">
        <fgColor theme="0"/>
        <bgColor indexed="64"/>
      </patternFill>
    </fill>
    <fill>
      <patternFill patternType="darkDown">
        <fgColor auto="1"/>
        <bgColor theme="9" tint="0.39994506668294322"/>
      </patternFill>
    </fill>
    <fill>
      <patternFill patternType="solid">
        <fgColor rgb="FFFFC000"/>
        <bgColor indexed="64"/>
      </patternFill>
    </fill>
    <fill>
      <patternFill patternType="solid">
        <fgColor theme="2" tint="-9.9978637043366805E-2"/>
        <bgColor indexed="64"/>
      </patternFill>
    </fill>
    <fill>
      <patternFill patternType="solid">
        <fgColor rgb="FF00C3FF"/>
        <bgColor indexed="64"/>
      </patternFill>
    </fill>
    <fill>
      <patternFill patternType="solid">
        <fgColor theme="1"/>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medium">
        <color indexed="64"/>
      </bottom>
      <diagonal/>
    </border>
    <border>
      <left style="thin">
        <color theme="0"/>
      </left>
      <right style="thin">
        <color theme="0"/>
      </right>
      <top style="thin">
        <color indexed="64"/>
      </top>
      <bottom style="thin">
        <color indexed="64"/>
      </bottom>
      <diagonal/>
    </border>
    <border>
      <left style="medium">
        <color indexed="64"/>
      </left>
      <right style="thin">
        <color theme="0"/>
      </right>
      <top style="medium">
        <color indexed="64"/>
      </top>
      <bottom style="thin">
        <color indexed="64"/>
      </bottom>
      <diagonal/>
    </border>
    <border>
      <left style="thin">
        <color theme="0"/>
      </left>
      <right/>
      <top style="medium">
        <color indexed="64"/>
      </top>
      <bottom style="thin">
        <color indexed="64"/>
      </bottom>
      <diagonal/>
    </border>
    <border>
      <left style="thin">
        <color theme="0"/>
      </left>
      <right style="thin">
        <color theme="0"/>
      </right>
      <top style="medium">
        <color indexed="64"/>
      </top>
      <bottom style="thin">
        <color indexed="64"/>
      </bottom>
      <diagonal/>
    </border>
    <border>
      <left/>
      <right/>
      <top style="medium">
        <color indexed="64"/>
      </top>
      <bottom/>
      <diagonal/>
    </border>
    <border>
      <left style="thin">
        <color theme="0"/>
      </left>
      <right style="medium">
        <color indexed="64"/>
      </right>
      <top style="medium">
        <color indexed="64"/>
      </top>
      <bottom style="thin">
        <color indexed="64"/>
      </bottom>
      <diagonal/>
    </border>
  </borders>
  <cellStyleXfs count="4">
    <xf numFmtId="0" fontId="0" fillId="0" borderId="0"/>
    <xf numFmtId="0" fontId="8" fillId="7" borderId="0" applyNumberFormat="0" applyBorder="0" applyAlignment="0" applyProtection="0"/>
    <xf numFmtId="9" fontId="11" fillId="0" borderId="0" applyFont="0" applyFill="0" applyBorder="0" applyAlignment="0" applyProtection="0"/>
    <xf numFmtId="0" fontId="12" fillId="13" borderId="0">
      <alignment horizontal="center" vertical="center" wrapText="1"/>
    </xf>
  </cellStyleXfs>
  <cellXfs count="223">
    <xf numFmtId="0" fontId="0" fillId="0" borderId="0" xfId="0"/>
    <xf numFmtId="0" fontId="3" fillId="0" borderId="0" xfId="0" applyFont="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0" fillId="3" borderId="1" xfId="0" applyFill="1" applyBorder="1" applyAlignment="1">
      <alignment horizontal="center" vertical="center" wrapText="1"/>
    </xf>
    <xf numFmtId="0" fontId="4" fillId="0" borderId="0" xfId="0" applyFont="1"/>
    <xf numFmtId="0" fontId="0" fillId="0" borderId="1" xfId="0" applyBorder="1" applyAlignment="1">
      <alignment horizontal="center" vertical="center" wrapText="1"/>
    </xf>
    <xf numFmtId="0" fontId="0" fillId="0" borderId="0" xfId="0" applyAlignment="1">
      <alignment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0" xfId="0" applyAlignment="1">
      <alignment horizontal="center" vertical="center"/>
    </xf>
    <xf numFmtId="0" fontId="7" fillId="0" borderId="1" xfId="0" applyFont="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xf>
    <xf numFmtId="0" fontId="7" fillId="0" borderId="1" xfId="0" applyFont="1" applyBorder="1" applyAlignment="1">
      <alignment horizontal="center" vertical="center" wrapText="1"/>
    </xf>
    <xf numFmtId="0" fontId="0" fillId="9" borderId="1" xfId="0" applyFill="1" applyBorder="1" applyAlignment="1">
      <alignment horizontal="center" vertical="center" wrapText="1"/>
    </xf>
    <xf numFmtId="0" fontId="7" fillId="9" borderId="1" xfId="0" applyFont="1" applyFill="1" applyBorder="1" applyAlignment="1">
      <alignment horizontal="center" vertical="center" wrapText="1"/>
    </xf>
    <xf numFmtId="0" fontId="0" fillId="9" borderId="1" xfId="0" applyFill="1" applyBorder="1" applyAlignment="1">
      <alignment horizontal="left" vertical="center" wrapText="1"/>
    </xf>
    <xf numFmtId="0" fontId="7" fillId="9"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0" fillId="0" borderId="23" xfId="0" applyBorder="1" applyAlignment="1">
      <alignment horizontal="left" vertical="center" wrapText="1"/>
    </xf>
    <xf numFmtId="0" fontId="0" fillId="9" borderId="9" xfId="0" applyFill="1" applyBorder="1" applyAlignment="1">
      <alignment horizontal="center" vertical="center" wrapText="1"/>
    </xf>
    <xf numFmtId="0" fontId="12" fillId="0" borderId="0" xfId="0" applyFont="1" applyAlignment="1">
      <alignment wrapText="1"/>
    </xf>
    <xf numFmtId="0" fontId="12" fillId="0" borderId="0" xfId="0" applyFont="1"/>
    <xf numFmtId="0" fontId="10" fillId="10" borderId="1" xfId="0" applyFont="1" applyFill="1" applyBorder="1" applyAlignment="1">
      <alignment horizontal="center" vertical="center" wrapText="1"/>
    </xf>
    <xf numFmtId="0" fontId="10" fillId="10" borderId="1" xfId="0" applyFont="1" applyFill="1" applyBorder="1" applyAlignment="1">
      <alignment vertical="center" wrapText="1"/>
    </xf>
    <xf numFmtId="164" fontId="13" fillId="7" borderId="1" xfId="1" applyNumberFormat="1" applyFont="1" applyBorder="1" applyAlignment="1">
      <alignment horizontal="center" vertical="center"/>
    </xf>
    <xf numFmtId="0" fontId="9" fillId="0" borderId="22" xfId="0" applyFont="1" applyBorder="1" applyAlignment="1">
      <alignment wrapText="1"/>
    </xf>
    <xf numFmtId="0" fontId="9" fillId="0" borderId="26" xfId="0" applyFont="1" applyBorder="1" applyAlignment="1">
      <alignment wrapText="1"/>
    </xf>
    <xf numFmtId="164" fontId="13" fillId="7" borderId="29" xfId="1" applyNumberFormat="1" applyFont="1" applyBorder="1" applyAlignment="1">
      <alignment horizontal="center" vertical="center"/>
    </xf>
    <xf numFmtId="9" fontId="0" fillId="0" borderId="1" xfId="0" applyNumberFormat="1" applyBorder="1" applyAlignment="1">
      <alignment horizontal="center"/>
    </xf>
    <xf numFmtId="9" fontId="0" fillId="0" borderId="23" xfId="0" applyNumberFormat="1" applyBorder="1" applyAlignment="1">
      <alignment horizontal="center"/>
    </xf>
    <xf numFmtId="9" fontId="0" fillId="0" borderId="29" xfId="0" applyNumberFormat="1" applyBorder="1" applyAlignment="1">
      <alignment horizontal="center"/>
    </xf>
    <xf numFmtId="9" fontId="0" fillId="0" borderId="38" xfId="0" applyNumberFormat="1" applyBorder="1" applyAlignment="1">
      <alignment horizontal="center"/>
    </xf>
    <xf numFmtId="1" fontId="13" fillId="7" borderId="1" xfId="1" applyNumberFormat="1" applyFont="1" applyBorder="1" applyAlignment="1">
      <alignment horizontal="center" vertical="center"/>
    </xf>
    <xf numFmtId="1" fontId="13" fillId="7" borderId="29" xfId="1" applyNumberFormat="1" applyFont="1" applyBorder="1" applyAlignment="1">
      <alignment horizontal="center" vertical="center"/>
    </xf>
    <xf numFmtId="0" fontId="0" fillId="0" borderId="0" xfId="0" applyAlignment="1">
      <alignment wrapText="1"/>
    </xf>
    <xf numFmtId="0" fontId="0" fillId="0" borderId="9" xfId="0" applyBorder="1" applyAlignment="1">
      <alignment horizontal="center" vertical="center" wrapText="1"/>
    </xf>
    <xf numFmtId="0" fontId="0" fillId="10" borderId="1" xfId="0" applyFill="1" applyBorder="1" applyAlignment="1">
      <alignment vertical="center" wrapText="1"/>
    </xf>
    <xf numFmtId="0" fontId="0" fillId="10" borderId="1" xfId="0" applyFill="1" applyBorder="1" applyAlignment="1">
      <alignment horizontal="left"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xf numFmtId="49" fontId="0" fillId="0" borderId="1" xfId="0" applyNumberFormat="1" applyBorder="1" applyAlignment="1">
      <alignment horizontal="center" vertical="center" wrapText="1"/>
    </xf>
    <xf numFmtId="0" fontId="0" fillId="12" borderId="1" xfId="0" applyFill="1" applyBorder="1" applyAlignment="1">
      <alignment horizontal="left" vertical="center" wrapText="1"/>
    </xf>
    <xf numFmtId="0" fontId="0" fillId="0" borderId="0" xfId="0" applyAlignment="1">
      <alignment horizontal="left" vertical="center" wrapText="1"/>
    </xf>
    <xf numFmtId="0" fontId="0" fillId="8" borderId="1" xfId="0" applyFill="1" applyBorder="1" applyAlignment="1">
      <alignment horizontal="center" vertical="center" wrapText="1"/>
    </xf>
    <xf numFmtId="0" fontId="0" fillId="6" borderId="1" xfId="0" applyFill="1" applyBorder="1" applyAlignment="1">
      <alignment horizontal="center" vertical="center" wrapText="1"/>
    </xf>
    <xf numFmtId="0" fontId="0" fillId="2" borderId="1" xfId="0" applyFill="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11" borderId="1" xfId="0" applyFill="1" applyBorder="1" applyAlignment="1">
      <alignment vertical="center" wrapText="1"/>
    </xf>
    <xf numFmtId="0" fontId="0" fillId="12" borderId="9" xfId="0" applyFill="1" applyBorder="1" applyAlignment="1">
      <alignment horizontal="center" vertical="center" wrapText="1"/>
    </xf>
    <xf numFmtId="0" fontId="0" fillId="12" borderId="1" xfId="0" applyFill="1" applyBorder="1" applyAlignment="1">
      <alignment horizontal="center" vertical="center" wrapText="1"/>
    </xf>
    <xf numFmtId="0" fontId="0" fillId="12" borderId="23" xfId="0" applyFill="1" applyBorder="1" applyAlignment="1">
      <alignment horizontal="left" vertical="center" wrapText="1"/>
    </xf>
    <xf numFmtId="0" fontId="0" fillId="12" borderId="29" xfId="0" applyFill="1" applyBorder="1" applyAlignment="1">
      <alignment horizontal="center" vertical="center" wrapText="1"/>
    </xf>
    <xf numFmtId="0" fontId="0" fillId="12" borderId="29" xfId="0" applyFill="1" applyBorder="1" applyAlignment="1">
      <alignment horizontal="left" vertical="center" wrapText="1"/>
    </xf>
    <xf numFmtId="0" fontId="12" fillId="0" borderId="0" xfId="0" applyFont="1" applyAlignment="1">
      <alignment vertical="center"/>
    </xf>
    <xf numFmtId="0" fontId="18" fillId="0" borderId="1" xfId="0" applyFont="1" applyBorder="1" applyAlignment="1">
      <alignment horizontal="center" vertical="center" wrapText="1"/>
    </xf>
    <xf numFmtId="0" fontId="19" fillId="0" borderId="1" xfId="0" applyFont="1" applyBorder="1" applyAlignment="1">
      <alignment horizontal="left" vertical="center" wrapText="1"/>
    </xf>
    <xf numFmtId="49" fontId="0" fillId="0" borderId="0" xfId="0" applyNumberFormat="1" applyAlignment="1">
      <alignment horizontal="center" vertical="center" wrapText="1"/>
    </xf>
    <xf numFmtId="0" fontId="0" fillId="0" borderId="0" xfId="0" applyAlignment="1">
      <alignment horizontal="left" vertical="center" wrapText="1"/>
    </xf>
    <xf numFmtId="0" fontId="0" fillId="0" borderId="1" xfId="0" applyFont="1"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1" xfId="0" applyNumberFormat="1" applyBorder="1" applyAlignment="1">
      <alignment horizontal="center" vertical="center"/>
    </xf>
    <xf numFmtId="14" fontId="7" fillId="0" borderId="0" xfId="0" applyNumberFormat="1" applyFont="1" applyAlignment="1">
      <alignment vertical="center"/>
    </xf>
    <xf numFmtId="0" fontId="7" fillId="0" borderId="0" xfId="0" applyFont="1" applyAlignment="1">
      <alignment vertical="center"/>
    </xf>
    <xf numFmtId="9" fontId="0" fillId="0" borderId="1" xfId="2" applyFont="1" applyBorder="1"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15" borderId="1" xfId="0" applyFill="1" applyBorder="1" applyAlignment="1">
      <alignment horizontal="center" vertical="center" wrapText="1"/>
    </xf>
    <xf numFmtId="0" fontId="18" fillId="3" borderId="1" xfId="0" applyFont="1" applyFill="1" applyBorder="1" applyAlignment="1">
      <alignment horizontal="center" vertical="center" wrapText="1"/>
    </xf>
    <xf numFmtId="0" fontId="19" fillId="0" borderId="0" xfId="0" applyFont="1" applyAlignment="1">
      <alignment horizontal="center" vertical="center" wrapText="1"/>
    </xf>
    <xf numFmtId="0" fontId="21" fillId="0" borderId="0" xfId="0" applyFont="1" applyAlignment="1">
      <alignment horizontal="center" vertical="center"/>
    </xf>
    <xf numFmtId="49" fontId="22" fillId="16" borderId="7" xfId="0" applyNumberFormat="1" applyFont="1" applyFill="1" applyBorder="1" applyAlignment="1">
      <alignment horizontal="center" vertical="center" wrapText="1"/>
    </xf>
    <xf numFmtId="0" fontId="23" fillId="17" borderId="14" xfId="0" applyFont="1" applyFill="1" applyBorder="1" applyAlignment="1">
      <alignment horizontal="center" vertical="center" wrapText="1"/>
    </xf>
    <xf numFmtId="0" fontId="23" fillId="17" borderId="44"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23" fillId="17" borderId="45" xfId="0" applyFont="1" applyFill="1" applyBorder="1" applyAlignment="1">
      <alignment horizontal="center" vertical="center" wrapText="1"/>
    </xf>
    <xf numFmtId="0" fontId="23" fillId="17" borderId="46" xfId="0" applyFont="1" applyFill="1" applyBorder="1" applyAlignment="1">
      <alignment horizontal="center" vertical="center" wrapText="1"/>
    </xf>
    <xf numFmtId="0" fontId="23" fillId="17" borderId="47" xfId="0" applyFont="1" applyFill="1" applyBorder="1" applyAlignment="1">
      <alignment horizontal="center" vertical="center" wrapText="1"/>
    </xf>
    <xf numFmtId="0" fontId="23" fillId="17" borderId="48" xfId="0" applyFont="1" applyFill="1" applyBorder="1" applyAlignment="1">
      <alignment horizontal="center" vertical="center" wrapText="1"/>
    </xf>
    <xf numFmtId="0" fontId="23" fillId="17" borderId="49" xfId="0" applyFont="1" applyFill="1" applyBorder="1" applyAlignment="1">
      <alignment horizontal="center" vertical="center" wrapText="1"/>
    </xf>
    <xf numFmtId="0" fontId="0" fillId="9" borderId="23" xfId="0" applyFill="1" applyBorder="1" applyAlignment="1">
      <alignment horizontal="left" vertical="center" wrapText="1"/>
    </xf>
    <xf numFmtId="0" fontId="0" fillId="0" borderId="1" xfId="0" applyFill="1" applyBorder="1" applyAlignment="1">
      <alignment horizontal="center" vertical="center" wrapText="1"/>
    </xf>
    <xf numFmtId="49" fontId="0" fillId="0" borderId="1" xfId="0" applyNumberFormat="1" applyFill="1" applyBorder="1" applyAlignment="1">
      <alignment horizontal="center" vertical="center" wrapText="1"/>
    </xf>
    <xf numFmtId="0" fontId="1" fillId="0" borderId="1" xfId="0" applyFont="1" applyFill="1" applyBorder="1" applyAlignment="1">
      <alignment horizontal="center" vertical="center" wrapText="1"/>
    </xf>
    <xf numFmtId="1" fontId="14" fillId="0" borderId="1" xfId="0" applyNumberFormat="1" applyFont="1" applyBorder="1" applyAlignment="1">
      <alignment horizontal="center" vertical="center"/>
    </xf>
    <xf numFmtId="1" fontId="14" fillId="0" borderId="23" xfId="0" applyNumberFormat="1" applyFont="1" applyBorder="1" applyAlignment="1">
      <alignment horizontal="center" vertical="center"/>
    </xf>
    <xf numFmtId="1" fontId="14" fillId="0" borderId="29" xfId="0" applyNumberFormat="1" applyFont="1" applyBorder="1" applyAlignment="1">
      <alignment horizontal="center" vertical="center"/>
    </xf>
    <xf numFmtId="1" fontId="14" fillId="0" borderId="38" xfId="0" applyNumberFormat="1" applyFont="1" applyBorder="1" applyAlignment="1">
      <alignment horizontal="center" vertical="center"/>
    </xf>
    <xf numFmtId="0" fontId="0" fillId="0" borderId="30" xfId="0" applyBorder="1" applyAlignment="1">
      <alignment horizontal="center" wrapText="1"/>
    </xf>
    <xf numFmtId="49" fontId="22" fillId="16" borderId="41" xfId="0" applyNumberFormat="1" applyFont="1" applyFill="1" applyBorder="1" applyAlignment="1">
      <alignment horizontal="center" vertical="center" wrapText="1"/>
    </xf>
    <xf numFmtId="49" fontId="22" fillId="16" borderId="43" xfId="0" applyNumberFormat="1" applyFont="1" applyFill="1" applyBorder="1" applyAlignment="1">
      <alignment horizontal="center" vertical="center" wrapText="1"/>
    </xf>
    <xf numFmtId="49" fontId="22" fillId="16" borderId="2" xfId="0" applyNumberFormat="1" applyFont="1" applyFill="1" applyBorder="1" applyAlignment="1">
      <alignment horizontal="center" vertical="center" wrapText="1"/>
    </xf>
    <xf numFmtId="49" fontId="22" fillId="16" borderId="7" xfId="0" applyNumberFormat="1" applyFont="1" applyFill="1" applyBorder="1" applyAlignment="1">
      <alignment horizontal="center" vertical="center" wrapText="1"/>
    </xf>
    <xf numFmtId="49" fontId="22" fillId="16" borderId="3" xfId="0" applyNumberFormat="1" applyFont="1" applyFill="1" applyBorder="1" applyAlignment="1">
      <alignment horizontal="center" vertical="center" wrapText="1"/>
    </xf>
    <xf numFmtId="49" fontId="22" fillId="16" borderId="42" xfId="0" applyNumberFormat="1" applyFont="1" applyFill="1" applyBorder="1" applyAlignment="1">
      <alignment horizontal="center" vertical="center" wrapText="1"/>
    </xf>
    <xf numFmtId="49" fontId="22" fillId="16" borderId="35" xfId="0" applyNumberFormat="1" applyFont="1" applyFill="1" applyBorder="1" applyAlignment="1">
      <alignment horizontal="center" vertical="center" wrapText="1"/>
    </xf>
    <xf numFmtId="49" fontId="22" fillId="16" borderId="36" xfId="0" applyNumberFormat="1" applyFont="1" applyFill="1" applyBorder="1" applyAlignment="1">
      <alignment horizontal="center" vertical="center" wrapText="1"/>
    </xf>
    <xf numFmtId="9" fontId="0" fillId="0" borderId="1" xfId="2" applyFont="1" applyBorder="1" applyAlignment="1">
      <alignment horizontal="center" vertical="center" wrapText="1"/>
    </xf>
    <xf numFmtId="0" fontId="2" fillId="8" borderId="1" xfId="0" applyFont="1" applyFill="1" applyBorder="1" applyAlignment="1">
      <alignment horizontal="center" vertical="center" wrapText="1"/>
    </xf>
    <xf numFmtId="9" fontId="0" fillId="0" borderId="10" xfId="2" applyFont="1" applyBorder="1" applyAlignment="1">
      <alignment horizontal="center" vertical="center" wrapText="1"/>
    </xf>
    <xf numFmtId="9" fontId="0" fillId="0" borderId="11" xfId="2" applyFont="1" applyBorder="1" applyAlignment="1">
      <alignment horizontal="center" vertical="center" wrapText="1"/>
    </xf>
    <xf numFmtId="9" fontId="0" fillId="0" borderId="12" xfId="2" applyFont="1" applyBorder="1" applyAlignment="1">
      <alignment horizontal="center" vertical="center" wrapText="1"/>
    </xf>
    <xf numFmtId="0" fontId="0" fillId="12" borderId="31" xfId="0" applyFill="1" applyBorder="1" applyAlignment="1">
      <alignment horizontal="center" vertical="center" wrapText="1"/>
    </xf>
    <xf numFmtId="0" fontId="0" fillId="12" borderId="34" xfId="0" applyFill="1" applyBorder="1" applyAlignment="1">
      <alignment horizontal="center" vertical="center" wrapText="1"/>
    </xf>
    <xf numFmtId="0" fontId="0" fillId="12" borderId="14" xfId="0" applyFill="1" applyBorder="1" applyAlignment="1">
      <alignment horizontal="left" vertical="center" wrapText="1"/>
    </xf>
    <xf numFmtId="0" fontId="0" fillId="12" borderId="15" xfId="0" applyFill="1" applyBorder="1" applyAlignment="1">
      <alignment horizontal="left" vertical="center" wrapText="1"/>
    </xf>
    <xf numFmtId="0" fontId="0" fillId="12" borderId="0" xfId="0" applyFill="1" applyBorder="1" applyAlignment="1">
      <alignment horizontal="left" vertical="center" wrapText="1"/>
    </xf>
    <xf numFmtId="0" fontId="0" fillId="12" borderId="17" xfId="0" applyFill="1" applyBorder="1" applyAlignment="1">
      <alignment horizontal="left" vertical="center" wrapText="1"/>
    </xf>
    <xf numFmtId="0" fontId="0" fillId="12" borderId="30" xfId="0" applyFill="1" applyBorder="1" applyAlignment="1">
      <alignment horizontal="left" vertical="center" wrapText="1"/>
    </xf>
    <xf numFmtId="0" fontId="0" fillId="12" borderId="28" xfId="0" applyFill="1" applyBorder="1" applyAlignment="1">
      <alignment horizontal="left" vertical="center" wrapText="1"/>
    </xf>
    <xf numFmtId="0" fontId="0" fillId="12" borderId="13" xfId="0" applyFill="1" applyBorder="1" applyAlignment="1">
      <alignment horizontal="left" vertical="center" wrapText="1"/>
    </xf>
    <xf numFmtId="0" fontId="0" fillId="12" borderId="24" xfId="0" applyFill="1" applyBorder="1" applyAlignment="1">
      <alignment horizontal="left" vertical="center" wrapText="1"/>
    </xf>
    <xf numFmtId="0" fontId="0" fillId="12" borderId="16" xfId="0" applyFill="1" applyBorder="1" applyAlignment="1">
      <alignment horizontal="left" vertical="center" wrapText="1"/>
    </xf>
    <xf numFmtId="0" fontId="0" fillId="12" borderId="6" xfId="0" applyFill="1" applyBorder="1" applyAlignment="1">
      <alignment horizontal="left" vertical="center" wrapText="1"/>
    </xf>
    <xf numFmtId="0" fontId="0" fillId="12" borderId="27" xfId="0" applyFill="1" applyBorder="1" applyAlignment="1">
      <alignment horizontal="left" vertical="center" wrapText="1"/>
    </xf>
    <xf numFmtId="0" fontId="0" fillId="12" borderId="5" xfId="0" applyFill="1" applyBorder="1" applyAlignment="1">
      <alignment horizontal="left" vertical="center" wrapText="1"/>
    </xf>
    <xf numFmtId="0" fontId="0" fillId="12" borderId="13" xfId="0" applyFill="1" applyBorder="1" applyAlignment="1">
      <alignment horizontal="center" vertical="center" wrapText="1"/>
    </xf>
    <xf numFmtId="0" fontId="0" fillId="12" borderId="15" xfId="0" applyFill="1" applyBorder="1" applyAlignment="1">
      <alignment horizontal="center" vertical="center" wrapText="1"/>
    </xf>
    <xf numFmtId="0" fontId="0" fillId="12" borderId="16" xfId="0" applyFill="1" applyBorder="1" applyAlignment="1">
      <alignment horizontal="center" vertical="center" wrapText="1"/>
    </xf>
    <xf numFmtId="0" fontId="0" fillId="12" borderId="17" xfId="0" applyFill="1" applyBorder="1" applyAlignment="1">
      <alignment horizontal="center" vertical="center" wrapText="1"/>
    </xf>
    <xf numFmtId="0" fontId="0" fillId="12" borderId="27" xfId="0" applyFill="1" applyBorder="1" applyAlignment="1">
      <alignment horizontal="center" vertical="center" wrapText="1"/>
    </xf>
    <xf numFmtId="0" fontId="0" fillId="12" borderId="28" xfId="0" applyFill="1" applyBorder="1" applyAlignment="1">
      <alignment horizontal="center"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0" xfId="0" applyBorder="1" applyAlignment="1">
      <alignment horizontal="left" vertical="center" wrapText="1"/>
    </xf>
    <xf numFmtId="0" fontId="0" fillId="0" borderId="17"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3" xfId="0" applyBorder="1" applyAlignment="1">
      <alignment horizontal="left" vertical="center" wrapText="1"/>
    </xf>
    <xf numFmtId="0" fontId="0" fillId="0" borderId="24" xfId="0" applyBorder="1" applyAlignment="1">
      <alignment horizontal="left" vertical="center" wrapText="1"/>
    </xf>
    <xf numFmtId="0" fontId="0" fillId="0" borderId="16" xfId="0" applyBorder="1" applyAlignment="1">
      <alignment horizontal="left" vertical="center" wrapText="1"/>
    </xf>
    <xf numFmtId="0" fontId="0" fillId="0" borderId="6" xfId="0" applyBorder="1" applyAlignment="1">
      <alignment horizontal="left" vertical="center" wrapText="1"/>
    </xf>
    <xf numFmtId="0" fontId="0" fillId="0" borderId="18" xfId="0" applyBorder="1" applyAlignment="1">
      <alignment horizontal="left" vertical="center" wrapText="1"/>
    </xf>
    <xf numFmtId="0" fontId="0" fillId="0" borderId="25" xfId="0" applyBorder="1" applyAlignment="1">
      <alignment horizontal="left" vertical="center" wrapText="1"/>
    </xf>
    <xf numFmtId="0" fontId="0" fillId="0" borderId="13"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horizontal="left" vertical="center"/>
    </xf>
    <xf numFmtId="0" fontId="0" fillId="0" borderId="20" xfId="0" applyBorder="1" applyAlignment="1">
      <alignment horizontal="left" vertical="center"/>
    </xf>
    <xf numFmtId="0" fontId="0" fillId="0" borderId="21" xfId="0" applyBorder="1" applyAlignment="1">
      <alignment horizontal="left" vertical="center"/>
    </xf>
    <xf numFmtId="0" fontId="0" fillId="0" borderId="9" xfId="0" applyBorder="1" applyAlignment="1">
      <alignment horizontal="left" vertical="center"/>
    </xf>
    <xf numFmtId="0" fontId="0" fillId="9" borderId="32" xfId="0" applyFill="1" applyBorder="1" applyAlignment="1">
      <alignment horizontal="center" vertical="center" wrapText="1"/>
    </xf>
    <xf numFmtId="0" fontId="0" fillId="9" borderId="4" xfId="0" applyFill="1" applyBorder="1" applyAlignment="1">
      <alignment horizontal="center" vertical="center" wrapText="1"/>
    </xf>
    <xf numFmtId="0" fontId="0" fillId="9" borderId="33" xfId="0" applyFill="1" applyBorder="1" applyAlignment="1">
      <alignment horizontal="center" vertical="center" wrapText="1"/>
    </xf>
    <xf numFmtId="0" fontId="0" fillId="9" borderId="13" xfId="0" applyFill="1" applyBorder="1" applyAlignment="1">
      <alignment horizontal="left" vertical="center" wrapText="1"/>
    </xf>
    <xf numFmtId="0" fontId="0" fillId="9" borderId="15" xfId="0" applyFill="1" applyBorder="1" applyAlignment="1">
      <alignment horizontal="left" vertical="center" wrapText="1"/>
    </xf>
    <xf numFmtId="0" fontId="0" fillId="9" borderId="16" xfId="0" applyFill="1" applyBorder="1" applyAlignment="1">
      <alignment horizontal="left" vertical="center" wrapText="1"/>
    </xf>
    <xf numFmtId="0" fontId="0" fillId="9" borderId="17" xfId="0" applyFill="1" applyBorder="1" applyAlignment="1">
      <alignment horizontal="left" vertical="center" wrapText="1"/>
    </xf>
    <xf numFmtId="0" fontId="0" fillId="9" borderId="18" xfId="0" applyFill="1" applyBorder="1" applyAlignment="1">
      <alignment horizontal="left" vertical="center" wrapText="1"/>
    </xf>
    <xf numFmtId="0" fontId="0" fillId="9" borderId="20" xfId="0" applyFill="1" applyBorder="1" applyAlignment="1">
      <alignment horizontal="left" vertical="center" wrapText="1"/>
    </xf>
    <xf numFmtId="0" fontId="0" fillId="9" borderId="24" xfId="0" applyFill="1" applyBorder="1" applyAlignment="1">
      <alignment horizontal="left" vertical="center" wrapText="1"/>
    </xf>
    <xf numFmtId="0" fontId="0" fillId="9" borderId="6" xfId="0" applyFill="1" applyBorder="1" applyAlignment="1">
      <alignment horizontal="left" vertical="center" wrapText="1"/>
    </xf>
    <xf numFmtId="0" fontId="0" fillId="9" borderId="25" xfId="0" applyFill="1" applyBorder="1" applyAlignment="1">
      <alignment horizontal="left" vertical="center" wrapText="1"/>
    </xf>
    <xf numFmtId="0" fontId="0" fillId="0" borderId="31" xfId="0" applyBorder="1" applyAlignment="1">
      <alignment horizontal="center" vertical="center" wrapText="1"/>
    </xf>
    <xf numFmtId="0" fontId="7" fillId="9" borderId="13" xfId="0" applyFont="1" applyFill="1" applyBorder="1" applyAlignment="1">
      <alignment horizontal="center" vertical="center" wrapText="1"/>
    </xf>
    <xf numFmtId="0" fontId="7" fillId="9" borderId="15" xfId="0" applyFont="1" applyFill="1" applyBorder="1" applyAlignment="1">
      <alignment horizontal="center" vertical="center" wrapText="1"/>
    </xf>
    <xf numFmtId="0" fontId="7" fillId="9" borderId="16" xfId="0" applyFont="1" applyFill="1" applyBorder="1" applyAlignment="1">
      <alignment horizontal="center" vertical="center" wrapText="1"/>
    </xf>
    <xf numFmtId="0" fontId="7" fillId="9" borderId="17" xfId="0" applyFont="1" applyFill="1" applyBorder="1" applyAlignment="1">
      <alignment horizontal="center" vertical="center" wrapText="1"/>
    </xf>
    <xf numFmtId="0" fontId="7" fillId="9" borderId="18" xfId="0" applyFont="1" applyFill="1" applyBorder="1" applyAlignment="1">
      <alignment horizontal="center" vertical="center" wrapText="1"/>
    </xf>
    <xf numFmtId="0" fontId="7" fillId="9" borderId="20" xfId="0" applyFont="1" applyFill="1" applyBorder="1" applyAlignment="1">
      <alignment horizontal="center" vertical="center" wrapText="1"/>
    </xf>
    <xf numFmtId="0" fontId="0" fillId="9" borderId="13" xfId="0" applyFill="1" applyBorder="1" applyAlignment="1">
      <alignment horizontal="center" vertical="center" wrapText="1"/>
    </xf>
    <xf numFmtId="0" fontId="0" fillId="9" borderId="15" xfId="0" applyFill="1" applyBorder="1" applyAlignment="1">
      <alignment horizontal="center" vertical="center" wrapText="1"/>
    </xf>
    <xf numFmtId="0" fontId="0" fillId="9" borderId="16" xfId="0" applyFill="1" applyBorder="1" applyAlignment="1">
      <alignment horizontal="center" vertical="center" wrapText="1"/>
    </xf>
    <xf numFmtId="0" fontId="0" fillId="9" borderId="17" xfId="0" applyFill="1" applyBorder="1" applyAlignment="1">
      <alignment horizontal="center" vertical="center" wrapText="1"/>
    </xf>
    <xf numFmtId="0" fontId="0" fillId="9" borderId="24" xfId="0" applyFill="1" applyBorder="1" applyAlignment="1">
      <alignment horizontal="center" vertical="center" wrapText="1"/>
    </xf>
    <xf numFmtId="0" fontId="0" fillId="9" borderId="6" xfId="0" applyFill="1" applyBorder="1" applyAlignment="1">
      <alignment horizontal="center" vertical="center" wrapText="1"/>
    </xf>
    <xf numFmtId="0" fontId="0" fillId="9" borderId="39" xfId="0" applyFill="1" applyBorder="1" applyAlignment="1">
      <alignment horizontal="center" vertical="center" wrapText="1"/>
    </xf>
    <xf numFmtId="0" fontId="0" fillId="9" borderId="40" xfId="0" applyFill="1" applyBorder="1" applyAlignment="1">
      <alignment horizontal="center" vertical="center" wrapText="1"/>
    </xf>
    <xf numFmtId="0" fontId="0" fillId="9" borderId="37" xfId="0" applyFill="1" applyBorder="1" applyAlignment="1">
      <alignment horizontal="center" vertical="center" wrapText="1"/>
    </xf>
    <xf numFmtId="0" fontId="0" fillId="9" borderId="20" xfId="0" applyFill="1" applyBorder="1" applyAlignment="1">
      <alignment horizontal="center" vertical="center" wrapText="1"/>
    </xf>
    <xf numFmtId="0" fontId="0" fillId="9" borderId="18" xfId="0" applyFill="1" applyBorder="1" applyAlignment="1">
      <alignment horizontal="center" vertical="center" wrapText="1"/>
    </xf>
    <xf numFmtId="0" fontId="0" fillId="9" borderId="25" xfId="0" applyFill="1" applyBorder="1" applyAlignment="1">
      <alignment horizontal="center" vertical="center" wrapText="1"/>
    </xf>
    <xf numFmtId="0" fontId="0" fillId="0" borderId="32" xfId="0" applyBorder="1" applyAlignment="1">
      <alignment horizontal="center" vertical="center" wrapText="1"/>
    </xf>
    <xf numFmtId="0" fontId="0" fillId="0" borderId="4" xfId="0" applyBorder="1" applyAlignment="1">
      <alignment horizontal="center" vertical="center" wrapText="1"/>
    </xf>
    <xf numFmtId="0" fontId="0" fillId="0" borderId="33" xfId="0" applyBorder="1" applyAlignment="1">
      <alignment horizontal="center" vertical="center" wrapText="1"/>
    </xf>
    <xf numFmtId="0" fontId="0" fillId="0" borderId="39" xfId="0" applyBorder="1" applyAlignment="1">
      <alignment horizontal="center" vertical="center" wrapText="1"/>
    </xf>
    <xf numFmtId="0" fontId="0" fillId="0" borderId="15" xfId="0" applyBorder="1" applyAlignment="1">
      <alignment horizontal="center" vertical="center" wrapText="1"/>
    </xf>
    <xf numFmtId="0" fontId="0" fillId="0" borderId="40" xfId="0" applyBorder="1" applyAlignment="1">
      <alignment horizontal="center" vertical="center" wrapText="1"/>
    </xf>
    <xf numFmtId="0" fontId="0" fillId="0" borderId="17" xfId="0" applyBorder="1" applyAlignment="1">
      <alignment horizontal="center" vertical="center" wrapText="1"/>
    </xf>
    <xf numFmtId="0" fontId="0" fillId="0" borderId="37" xfId="0" applyBorder="1" applyAlignment="1">
      <alignment horizontal="center" vertical="center" wrapText="1"/>
    </xf>
    <xf numFmtId="0" fontId="0" fillId="0" borderId="20" xfId="0" applyBorder="1" applyAlignment="1">
      <alignment horizontal="center" vertical="center" wrapText="1"/>
    </xf>
    <xf numFmtId="0" fontId="0" fillId="0" borderId="13" xfId="0" applyBorder="1" applyAlignment="1">
      <alignment horizontal="center" vertical="center" wrapText="1"/>
    </xf>
    <xf numFmtId="0" fontId="0" fillId="0" borderId="18" xfId="0" applyBorder="1" applyAlignment="1">
      <alignment horizontal="center" vertical="center" wrapText="1"/>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20" xfId="0" applyBorder="1" applyAlignment="1">
      <alignment horizontal="center" vertical="center"/>
    </xf>
    <xf numFmtId="0" fontId="0" fillId="0" borderId="24" xfId="0" applyBorder="1" applyAlignment="1">
      <alignment horizontal="center" vertical="center" wrapText="1"/>
    </xf>
    <xf numFmtId="0" fontId="0" fillId="0" borderId="16" xfId="0" applyBorder="1" applyAlignment="1">
      <alignment horizontal="center" vertical="center" wrapText="1"/>
    </xf>
    <xf numFmtId="0" fontId="0" fillId="0" borderId="6" xfId="0" applyBorder="1" applyAlignment="1">
      <alignment horizontal="center" vertical="center" wrapText="1"/>
    </xf>
    <xf numFmtId="0" fontId="0" fillId="0" borderId="25" xfId="0" applyBorder="1" applyAlignment="1">
      <alignment horizontal="center" vertical="center" wrapText="1"/>
    </xf>
    <xf numFmtId="0" fontId="5" fillId="5" borderId="1" xfId="0" applyFont="1" applyFill="1" applyBorder="1" applyAlignment="1">
      <alignment horizontal="center" vertical="center" wrapText="1"/>
    </xf>
    <xf numFmtId="0" fontId="5" fillId="5" borderId="21"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1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7" fillId="14" borderId="21" xfId="0" applyFont="1" applyFill="1" applyBorder="1" applyAlignment="1">
      <alignment horizontal="center" vertical="center" wrapText="1"/>
    </xf>
    <xf numFmtId="0" fontId="17" fillId="14" borderId="8" xfId="0" applyFont="1" applyFill="1" applyBorder="1" applyAlignment="1">
      <alignment horizontal="center" vertical="center" wrapText="1"/>
    </xf>
    <xf numFmtId="0" fontId="17" fillId="14" borderId="9" xfId="0" applyFont="1" applyFill="1" applyBorder="1" applyAlignment="1">
      <alignment horizontal="center" vertical="center" wrapText="1"/>
    </xf>
    <xf numFmtId="0" fontId="5" fillId="6" borderId="21"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2" fillId="0" borderId="1" xfId="0" applyFont="1" applyBorder="1" applyAlignment="1">
      <alignment horizontal="center" vertical="center" wrapText="1"/>
    </xf>
    <xf numFmtId="16"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cellXfs>
  <cellStyles count="4">
    <cellStyle name="60% — акцент5" xfId="1" builtinId="48"/>
    <cellStyle name="Обычный" xfId="0" builtinId="0"/>
    <cellStyle name="Процентный" xfId="2" builtinId="5"/>
    <cellStyle name="Решетка" xfId="3"/>
  </cellStyles>
  <dxfs count="143">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theme="0" tint="-0.24994659260841701"/>
        </patternFill>
      </fill>
    </dxf>
    <dxf>
      <fill>
        <patternFill>
          <bgColor rgb="FF92D050"/>
        </patternFill>
      </fill>
    </dxf>
    <dxf>
      <fill>
        <patternFill>
          <bgColor theme="5" tint="0.39994506668294322"/>
        </patternFill>
      </fill>
    </dxf>
    <dxf>
      <fill>
        <patternFill>
          <bgColor theme="7" tint="0.79998168889431442"/>
        </patternFill>
      </fill>
    </dxf>
    <dxf>
      <fill>
        <patternFill>
          <bgColor rgb="FFFFFF00"/>
        </patternFill>
      </fill>
    </dxf>
  </dxfs>
  <tableStyles count="0" defaultTableStyle="TableStyleMedium2" defaultPivotStyle="PivotStyleLight16"/>
  <colors>
    <mruColors>
      <color rgb="FFAA70D6"/>
      <color rgb="FFD8BE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ru-RU"/>
              <a:t>соответствие</a:t>
            </a:r>
            <a:r>
              <a:rPr lang="ru-RU" baseline="0"/>
              <a:t> </a:t>
            </a:r>
            <a:r>
              <a:rPr lang="ru-RU"/>
              <a:t>Уровням</a:t>
            </a:r>
            <a:r>
              <a:rPr lang="ru-RU" baseline="0"/>
              <a:t> зрелости доменов </a:t>
            </a:r>
            <a:r>
              <a:rPr lang="en-US" baseline="0"/>
              <a:t>JCSF</a:t>
            </a:r>
            <a:endParaRPr lang="ru-RU"/>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ru-RU"/>
        </a:p>
      </c:txPr>
    </c:title>
    <c:autoTitleDeleted val="0"/>
    <c:plotArea>
      <c:layout/>
      <c:radarChart>
        <c:radarStyle val="filled"/>
        <c:varyColors val="0"/>
        <c:ser>
          <c:idx val="1"/>
          <c:order val="0"/>
          <c:tx>
            <c:v>Уровни зрелости модели</c:v>
          </c:tx>
          <c:spPr>
            <a:solidFill>
              <a:schemeClr val="accent2">
                <a:alpha val="50196"/>
              </a:schemeClr>
            </a:solidFill>
            <a:ln w="25400">
              <a:noFill/>
              <a:prstDash val="sysDot"/>
            </a:ln>
            <a:effectLst/>
          </c:spPr>
          <c:cat>
            <c:strRef>
              <c:f>Результаты!$B$14:$B$20</c:f>
              <c:strCache>
                <c:ptCount val="7"/>
                <c:pt idx="0">
                  <c:v>Общие контроли (gen) </c:v>
                </c:pt>
                <c:pt idx="1">
                  <c:v>Безопасность узлов сред контейнеризации (nodes) </c:v>
                </c:pt>
                <c:pt idx="2">
                  <c:v>Безопасность оркестратора Kubernetes (orchr)</c:v>
                </c:pt>
                <c:pt idx="3">
                  <c:v>Безопасность манифестов (man)</c:v>
                </c:pt>
                <c:pt idx="4">
                  <c:v>Безопасность сред контейнеризации Docker</c:v>
                </c:pt>
                <c:pt idx="5">
                  <c:v>Безопасность образов контейнеров (img)</c:v>
                </c:pt>
                <c:pt idx="6">
                  <c:v>Безопасность запущенных контейнеров (containers)</c:v>
                </c:pt>
              </c:strCache>
            </c:strRef>
          </c:cat>
          <c:val>
            <c:numRef>
              <c:f>Результаты!$C$14:$C$20</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0067-487C-9BB6-73EDA172118F}"/>
            </c:ext>
          </c:extLst>
        </c:ser>
        <c:ser>
          <c:idx val="6"/>
          <c:order val="1"/>
          <c:tx>
            <c:strRef>
              <c:f>Результаты!$V$14</c:f>
              <c:strCache>
                <c:ptCount val="1"/>
              </c:strCache>
            </c:strRef>
          </c:tx>
          <c:spPr>
            <a:noFill/>
            <a:ln w="25400">
              <a:noFill/>
              <a:prstDash val="sysDot"/>
            </a:ln>
            <a:effectLst/>
          </c:spPr>
          <c:val>
            <c:numLit>
              <c:formatCode>General</c:formatCode>
              <c:ptCount val="1"/>
              <c:pt idx="0">
                <c:v>1</c:v>
              </c:pt>
            </c:numLit>
          </c:val>
          <c:extLst>
            <c:ext xmlns:c16="http://schemas.microsoft.com/office/drawing/2014/chart" uri="{C3380CC4-5D6E-409C-BE32-E72D297353CC}">
              <c16:uniqueId val="{0000000B-BAB9-455A-8978-84CB3C80E889}"/>
            </c:ext>
          </c:extLst>
        </c:ser>
        <c:ser>
          <c:idx val="0"/>
          <c:order val="2"/>
          <c:tx>
            <c:strRef>
              <c:f>Результаты!$V$15</c:f>
              <c:strCache>
                <c:ptCount val="1"/>
              </c:strCache>
            </c:strRef>
          </c:tx>
          <c:spPr>
            <a:solidFill>
              <a:schemeClr val="accent1">
                <a:alpha val="50196"/>
              </a:schemeClr>
            </a:solidFill>
            <a:ln w="25400">
              <a:noFill/>
              <a:prstDash val="sysDot"/>
            </a:ln>
            <a:effectLst/>
          </c:spPr>
          <c:val>
            <c:numRef>
              <c:f>Результаты!$V$15</c:f>
              <c:numCache>
                <c:formatCode>General</c:formatCode>
                <c:ptCount val="1"/>
              </c:numCache>
            </c:numRef>
          </c:val>
          <c:extLst>
            <c:ext xmlns:c16="http://schemas.microsoft.com/office/drawing/2014/chart" uri="{C3380CC4-5D6E-409C-BE32-E72D297353CC}">
              <c16:uniqueId val="{00000006-BAB9-455A-8978-84CB3C80E889}"/>
            </c:ext>
          </c:extLst>
        </c:ser>
        <c:ser>
          <c:idx val="2"/>
          <c:order val="3"/>
          <c:tx>
            <c:strRef>
              <c:f>Результаты!$V$16</c:f>
              <c:strCache>
                <c:ptCount val="1"/>
              </c:strCache>
            </c:strRef>
          </c:tx>
          <c:spPr>
            <a:solidFill>
              <a:schemeClr val="accent3">
                <a:alpha val="50196"/>
              </a:schemeClr>
            </a:solidFill>
            <a:ln w="25400">
              <a:noFill/>
              <a:prstDash val="sysDot"/>
            </a:ln>
            <a:effectLst/>
          </c:spPr>
          <c:val>
            <c:numRef>
              <c:f>Результаты!$V$16</c:f>
              <c:numCache>
                <c:formatCode>General</c:formatCode>
                <c:ptCount val="1"/>
              </c:numCache>
            </c:numRef>
          </c:val>
          <c:extLst>
            <c:ext xmlns:c16="http://schemas.microsoft.com/office/drawing/2014/chart" uri="{C3380CC4-5D6E-409C-BE32-E72D297353CC}">
              <c16:uniqueId val="{00000007-BAB9-455A-8978-84CB3C80E889}"/>
            </c:ext>
          </c:extLst>
        </c:ser>
        <c:ser>
          <c:idx val="3"/>
          <c:order val="4"/>
          <c:tx>
            <c:strRef>
              <c:f>Результаты!$V$17</c:f>
              <c:strCache>
                <c:ptCount val="1"/>
              </c:strCache>
            </c:strRef>
          </c:tx>
          <c:spPr>
            <a:solidFill>
              <a:schemeClr val="accent4">
                <a:alpha val="50196"/>
              </a:schemeClr>
            </a:solidFill>
            <a:ln w="25400">
              <a:noFill/>
              <a:prstDash val="sysDot"/>
            </a:ln>
            <a:effectLst/>
          </c:spPr>
          <c:val>
            <c:numRef>
              <c:f>Результаты!$V$17</c:f>
              <c:numCache>
                <c:formatCode>General</c:formatCode>
                <c:ptCount val="1"/>
              </c:numCache>
            </c:numRef>
          </c:val>
          <c:extLst>
            <c:ext xmlns:c16="http://schemas.microsoft.com/office/drawing/2014/chart" uri="{C3380CC4-5D6E-409C-BE32-E72D297353CC}">
              <c16:uniqueId val="{00000008-BAB9-455A-8978-84CB3C80E889}"/>
            </c:ext>
          </c:extLst>
        </c:ser>
        <c:ser>
          <c:idx val="4"/>
          <c:order val="5"/>
          <c:tx>
            <c:strRef>
              <c:f>Результаты!$V$19</c:f>
              <c:strCache>
                <c:ptCount val="1"/>
              </c:strCache>
            </c:strRef>
          </c:tx>
          <c:spPr>
            <a:solidFill>
              <a:schemeClr val="accent6">
                <a:lumMod val="20000"/>
                <a:lumOff val="80000"/>
              </a:schemeClr>
            </a:solidFill>
            <a:ln w="25400">
              <a:solidFill>
                <a:schemeClr val="accent5"/>
              </a:solidFill>
              <a:prstDash val="sysDot"/>
            </a:ln>
            <a:effectLst/>
          </c:spPr>
          <c:val>
            <c:numLit>
              <c:formatCode>General</c:formatCode>
              <c:ptCount val="1"/>
              <c:pt idx="0">
                <c:v>1</c:v>
              </c:pt>
            </c:numLit>
          </c:val>
          <c:extLst>
            <c:ext xmlns:c16="http://schemas.microsoft.com/office/drawing/2014/chart" uri="{C3380CC4-5D6E-409C-BE32-E72D297353CC}">
              <c16:uniqueId val="{00000009-BAB9-455A-8978-84CB3C80E889}"/>
            </c:ext>
          </c:extLst>
        </c:ser>
        <c:ser>
          <c:idx val="5"/>
          <c:order val="6"/>
          <c:tx>
            <c:strRef>
              <c:f>Результаты!$V$20</c:f>
              <c:strCache>
                <c:ptCount val="1"/>
              </c:strCache>
            </c:strRef>
          </c:tx>
          <c:spPr>
            <a:solidFill>
              <a:schemeClr val="accent6">
                <a:alpha val="50196"/>
              </a:schemeClr>
            </a:solidFill>
            <a:ln w="25400">
              <a:solidFill>
                <a:schemeClr val="accent6"/>
              </a:solidFill>
              <a:prstDash val="sysDot"/>
            </a:ln>
            <a:effectLst/>
          </c:spPr>
          <c:val>
            <c:numLit>
              <c:formatCode>General</c:formatCode>
              <c:ptCount val="1"/>
              <c:pt idx="0">
                <c:v>1</c:v>
              </c:pt>
            </c:numLit>
          </c:val>
          <c:extLst>
            <c:ext xmlns:c16="http://schemas.microsoft.com/office/drawing/2014/chart" uri="{C3380CC4-5D6E-409C-BE32-E72D297353CC}">
              <c16:uniqueId val="{0000000A-BAB9-455A-8978-84CB3C80E889}"/>
            </c:ext>
          </c:extLst>
        </c:ser>
        <c:dLbls>
          <c:showLegendKey val="0"/>
          <c:showVal val="0"/>
          <c:showCatName val="0"/>
          <c:showSerName val="0"/>
          <c:showPercent val="0"/>
          <c:showBubbleSize val="0"/>
        </c:dLbls>
        <c:axId val="1851551568"/>
        <c:axId val="1851555376"/>
      </c:radarChart>
      <c:catAx>
        <c:axId val="185155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crossAx val="1851555376"/>
        <c:crosses val="autoZero"/>
        <c:auto val="1"/>
        <c:lblAlgn val="ctr"/>
        <c:lblOffset val="100"/>
        <c:noMultiLvlLbl val="0"/>
      </c:catAx>
      <c:valAx>
        <c:axId val="1851555376"/>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cross"/>
        <c:tickLblPos val="nextTo"/>
        <c:spPr>
          <a:noFill/>
          <a:ln>
            <a:solidFill>
              <a:schemeClr val="accent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851551568"/>
        <c:crosses val="autoZero"/>
        <c:crossBetween val="between"/>
        <c:majorUnit val="1"/>
        <c:minorUnit val="0.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423071</xdr:colOff>
      <xdr:row>3</xdr:row>
      <xdr:rowOff>0</xdr:rowOff>
    </xdr:to>
    <xdr:sp macro="" textlink="">
      <xdr:nvSpPr>
        <xdr:cNvPr id="2" name="Заголовок 1">
          <a:extLst>
            <a:ext uri="{FF2B5EF4-FFF2-40B4-BE49-F238E27FC236}">
              <a16:creationId xmlns:a16="http://schemas.microsoft.com/office/drawing/2014/main" id="{F4398349-CC68-B57F-754C-2067C44C7449}"/>
            </a:ext>
          </a:extLst>
        </xdr:cNvPr>
        <xdr:cNvSpPr>
          <a:spLocks noGrp="1"/>
        </xdr:cNvSpPr>
      </xdr:nvSpPr>
      <xdr:spPr>
        <a:xfrm>
          <a:off x="0" y="0"/>
          <a:ext cx="10786271" cy="567382"/>
        </a:xfrm>
        <a:prstGeom prst="rect">
          <a:avLst/>
        </a:prstGeom>
      </xdr:spPr>
      <xdr:txBody>
        <a:bodyPr wrap="square" lIns="91440" tIns="45720" rIns="91440" bIns="45720" anchor="ctr" anchorCtr="0">
          <a:noAutofit/>
        </a:bodyPr>
        <a:lstStyle>
          <a:lvl1pPr marL="0" indent="0" algn="l" defTabSz="914400" rtl="0" eaLnBrk="1" latinLnBrk="0" hangingPunct="1">
            <a:lnSpc>
              <a:spcPct val="100000"/>
            </a:lnSpc>
            <a:spcBef>
              <a:spcPct val="0"/>
            </a:spcBef>
            <a:spcAft>
              <a:spcPts val="0"/>
            </a:spcAft>
            <a:buFontTx/>
            <a:buNone/>
            <a:defRPr sz="2800" b="1" i="0" kern="1200" cap="all" baseline="0">
              <a:solidFill>
                <a:schemeClr val="tx1"/>
              </a:solidFill>
              <a:latin typeface="Segoe UI Black" panose="020B0604020202020204" charset="0"/>
              <a:ea typeface="+mj-ea"/>
              <a:cs typeface="+mj-cs"/>
            </a:defRPr>
          </a:lvl1pPr>
        </a:lstStyle>
        <a:p>
          <a:r>
            <a:rPr lang="ru-RU"/>
            <a:t>Абстракции</a:t>
          </a:r>
          <a:endParaRPr lang="en-US"/>
        </a:p>
      </xdr:txBody>
    </xdr:sp>
    <xdr:clientData/>
  </xdr:twoCellAnchor>
  <xdr:twoCellAnchor>
    <xdr:from>
      <xdr:col>0</xdr:col>
      <xdr:colOff>94788</xdr:colOff>
      <xdr:row>3</xdr:row>
      <xdr:rowOff>156679</xdr:rowOff>
    </xdr:from>
    <xdr:to>
      <xdr:col>19</xdr:col>
      <xdr:colOff>42889</xdr:colOff>
      <xdr:row>6</xdr:row>
      <xdr:rowOff>175421</xdr:rowOff>
    </xdr:to>
    <xdr:grpSp>
      <xdr:nvGrpSpPr>
        <xdr:cNvPr id="3" name="Группа 2">
          <a:extLst>
            <a:ext uri="{FF2B5EF4-FFF2-40B4-BE49-F238E27FC236}">
              <a16:creationId xmlns:a16="http://schemas.microsoft.com/office/drawing/2014/main" id="{A3758360-60A9-BE6E-A9AA-128FC72F870A}"/>
            </a:ext>
          </a:extLst>
        </xdr:cNvPr>
        <xdr:cNvGrpSpPr/>
      </xdr:nvGrpSpPr>
      <xdr:grpSpPr>
        <a:xfrm>
          <a:off x="94788" y="728179"/>
          <a:ext cx="11445336" cy="590242"/>
          <a:chOff x="382103" y="2956410"/>
          <a:chExt cx="11530501" cy="567382"/>
        </a:xfrm>
      </xdr:grpSpPr>
      <xdr:cxnSp macro="">
        <xdr:nvCxnSpPr>
          <xdr:cNvPr id="4" name="Прямая соединительная линия 3">
            <a:extLst>
              <a:ext uri="{FF2B5EF4-FFF2-40B4-BE49-F238E27FC236}">
                <a16:creationId xmlns:a16="http://schemas.microsoft.com/office/drawing/2014/main" id="{F18796AB-3EE8-6B84-8BC6-C5BE5BD2DC91}"/>
              </a:ext>
            </a:extLst>
          </xdr:cNvPr>
          <xdr:cNvCxnSpPr>
            <a:cxnSpLocks/>
            <a:stCxn id="14" idx="3"/>
            <a:endCxn id="23" idx="1"/>
          </xdr:cNvCxnSpPr>
        </xdr:nvCxnSpPr>
        <xdr:spPr>
          <a:xfrm>
            <a:off x="1839109" y="3240101"/>
            <a:ext cx="55769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 name="Прямая соединительная линия 4">
            <a:extLst>
              <a:ext uri="{FF2B5EF4-FFF2-40B4-BE49-F238E27FC236}">
                <a16:creationId xmlns:a16="http://schemas.microsoft.com/office/drawing/2014/main" id="{7D130381-BD88-A661-193F-3C614C2812A4}"/>
              </a:ext>
            </a:extLst>
          </xdr:cNvPr>
          <xdr:cNvCxnSpPr>
            <a:stCxn id="23" idx="3"/>
            <a:endCxn id="24" idx="1"/>
          </xdr:cNvCxnSpPr>
        </xdr:nvCxnSpPr>
        <xdr:spPr>
          <a:xfrm>
            <a:off x="3853808" y="3240101"/>
            <a:ext cx="55769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 name="Прямая соединительная линия 5">
            <a:extLst>
              <a:ext uri="{FF2B5EF4-FFF2-40B4-BE49-F238E27FC236}">
                <a16:creationId xmlns:a16="http://schemas.microsoft.com/office/drawing/2014/main" id="{F10E025E-E72D-3833-8790-090AA906B353}"/>
              </a:ext>
            </a:extLst>
          </xdr:cNvPr>
          <xdr:cNvCxnSpPr>
            <a:stCxn id="24" idx="3"/>
            <a:endCxn id="25" idx="1"/>
          </xdr:cNvCxnSpPr>
        </xdr:nvCxnSpPr>
        <xdr:spPr>
          <a:xfrm>
            <a:off x="5868507" y="3240101"/>
            <a:ext cx="55769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7" name="Прямая соединительная линия 6">
            <a:extLst>
              <a:ext uri="{FF2B5EF4-FFF2-40B4-BE49-F238E27FC236}">
                <a16:creationId xmlns:a16="http://schemas.microsoft.com/office/drawing/2014/main" id="{E7FD1412-06EA-1CB3-3ABB-32D0C1A682EA}"/>
              </a:ext>
            </a:extLst>
          </xdr:cNvPr>
          <xdr:cNvCxnSpPr>
            <a:cxnSpLocks/>
            <a:stCxn id="25" idx="3"/>
            <a:endCxn id="26" idx="1"/>
          </xdr:cNvCxnSpPr>
        </xdr:nvCxnSpPr>
        <xdr:spPr>
          <a:xfrm>
            <a:off x="7883206" y="3240101"/>
            <a:ext cx="55769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8" name="Прямая соединительная линия 7">
            <a:extLst>
              <a:ext uri="{FF2B5EF4-FFF2-40B4-BE49-F238E27FC236}">
                <a16:creationId xmlns:a16="http://schemas.microsoft.com/office/drawing/2014/main" id="{E8563473-C251-76F2-D1E2-87EB11C37CE6}"/>
              </a:ext>
            </a:extLst>
          </xdr:cNvPr>
          <xdr:cNvCxnSpPr>
            <a:stCxn id="26" idx="3"/>
            <a:endCxn id="17" idx="1"/>
          </xdr:cNvCxnSpPr>
        </xdr:nvCxnSpPr>
        <xdr:spPr>
          <a:xfrm>
            <a:off x="9897905" y="3240101"/>
            <a:ext cx="557693"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9" name="Овал 8">
            <a:extLst>
              <a:ext uri="{FF2B5EF4-FFF2-40B4-BE49-F238E27FC236}">
                <a16:creationId xmlns:a16="http://schemas.microsoft.com/office/drawing/2014/main" id="{8D35909B-4D71-D33D-A1E7-A4D28AFD6A93}"/>
              </a:ext>
            </a:extLst>
          </xdr:cNvPr>
          <xdr:cNvSpPr/>
        </xdr:nvSpPr>
        <xdr:spPr>
          <a:xfrm>
            <a:off x="1993097" y="3115242"/>
            <a:ext cx="249718" cy="249718"/>
          </a:xfrm>
          <a:prstGeom prst="ellipse">
            <a:avLst/>
          </a:prstGeom>
          <a:solidFill>
            <a:srgbClr val="00C3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10" name="Овал 9">
            <a:extLst>
              <a:ext uri="{FF2B5EF4-FFF2-40B4-BE49-F238E27FC236}">
                <a16:creationId xmlns:a16="http://schemas.microsoft.com/office/drawing/2014/main" id="{55A3E1EE-A517-576A-745B-EDE415E601BA}"/>
              </a:ext>
            </a:extLst>
          </xdr:cNvPr>
          <xdr:cNvSpPr/>
        </xdr:nvSpPr>
        <xdr:spPr>
          <a:xfrm>
            <a:off x="4007796" y="3115242"/>
            <a:ext cx="249718" cy="249718"/>
          </a:xfrm>
          <a:prstGeom prst="ellipse">
            <a:avLst/>
          </a:prstGeom>
          <a:solidFill>
            <a:srgbClr val="00C3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11" name="Овал 10">
            <a:extLst>
              <a:ext uri="{FF2B5EF4-FFF2-40B4-BE49-F238E27FC236}">
                <a16:creationId xmlns:a16="http://schemas.microsoft.com/office/drawing/2014/main" id="{7A06AF88-12E8-84FF-5B9C-93123DE81869}"/>
              </a:ext>
            </a:extLst>
          </xdr:cNvPr>
          <xdr:cNvSpPr/>
        </xdr:nvSpPr>
        <xdr:spPr>
          <a:xfrm>
            <a:off x="6022495" y="3115242"/>
            <a:ext cx="249718" cy="249718"/>
          </a:xfrm>
          <a:prstGeom prst="ellipse">
            <a:avLst/>
          </a:prstGeom>
          <a:solidFill>
            <a:srgbClr val="00C3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12" name="Овал 11">
            <a:extLst>
              <a:ext uri="{FF2B5EF4-FFF2-40B4-BE49-F238E27FC236}">
                <a16:creationId xmlns:a16="http://schemas.microsoft.com/office/drawing/2014/main" id="{30D5D7E9-AC83-23C2-B493-0FAC7AD48688}"/>
              </a:ext>
            </a:extLst>
          </xdr:cNvPr>
          <xdr:cNvSpPr/>
        </xdr:nvSpPr>
        <xdr:spPr>
          <a:xfrm>
            <a:off x="8037194" y="3115242"/>
            <a:ext cx="249718" cy="249718"/>
          </a:xfrm>
          <a:prstGeom prst="ellipse">
            <a:avLst/>
          </a:prstGeom>
          <a:solidFill>
            <a:srgbClr val="00C3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13" name="Овал 12">
            <a:extLst>
              <a:ext uri="{FF2B5EF4-FFF2-40B4-BE49-F238E27FC236}">
                <a16:creationId xmlns:a16="http://schemas.microsoft.com/office/drawing/2014/main" id="{52D7492A-F7DC-89B4-E958-AA1B3EF12D2B}"/>
              </a:ext>
            </a:extLst>
          </xdr:cNvPr>
          <xdr:cNvSpPr/>
        </xdr:nvSpPr>
        <xdr:spPr>
          <a:xfrm>
            <a:off x="10051893" y="3115242"/>
            <a:ext cx="249718" cy="249718"/>
          </a:xfrm>
          <a:prstGeom prst="ellipse">
            <a:avLst/>
          </a:prstGeom>
          <a:solidFill>
            <a:srgbClr val="00C3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14" name="TextBox 31">
            <a:extLst>
              <a:ext uri="{FF2B5EF4-FFF2-40B4-BE49-F238E27FC236}">
                <a16:creationId xmlns:a16="http://schemas.microsoft.com/office/drawing/2014/main" id="{2C04CE05-08F9-E90A-7DCB-6A96F4702F5D}"/>
              </a:ext>
            </a:extLst>
          </xdr:cNvPr>
          <xdr:cNvSpPr txBox="1"/>
        </xdr:nvSpPr>
        <xdr:spPr>
          <a:xfrm>
            <a:off x="382103" y="2956410"/>
            <a:ext cx="1457006" cy="567382"/>
          </a:xfrm>
          <a:prstGeom prst="roundRect">
            <a:avLst/>
          </a:prstGeom>
          <a:solidFill>
            <a:schemeClr val="bg1">
              <a:lumMod val="95000"/>
            </a:schemeClr>
          </a:solidFill>
          <a:ln>
            <a:solidFill>
              <a:srgbClr val="0033CC"/>
            </a:solid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200" b="1">
                <a:solidFill>
                  <a:srgbClr val="0033CC"/>
                </a:solidFill>
              </a:rPr>
              <a:t>Создать виртуальные машины</a:t>
            </a:r>
            <a:endParaRPr lang="en-US" sz="1200" b="1">
              <a:solidFill>
                <a:srgbClr val="0033CC"/>
              </a:solidFill>
            </a:endParaRPr>
          </a:p>
        </xdr:txBody>
      </xdr:sp>
      <xdr:grpSp>
        <xdr:nvGrpSpPr>
          <xdr:cNvPr id="15" name="Группа 14">
            <a:extLst>
              <a:ext uri="{FF2B5EF4-FFF2-40B4-BE49-F238E27FC236}">
                <a16:creationId xmlns:a16="http://schemas.microsoft.com/office/drawing/2014/main" id="{6637BD52-7892-7253-1F7C-48FFBF933695}"/>
              </a:ext>
            </a:extLst>
          </xdr:cNvPr>
          <xdr:cNvGrpSpPr/>
        </xdr:nvGrpSpPr>
        <xdr:grpSpPr>
          <a:xfrm>
            <a:off x="6426200" y="2956410"/>
            <a:ext cx="3471705" cy="567382"/>
            <a:chOff x="6426200" y="2956410"/>
            <a:chExt cx="3471705" cy="567382"/>
          </a:xfrm>
        </xdr:grpSpPr>
        <xdr:sp macro="" textlink="">
          <xdr:nvSpPr>
            <xdr:cNvPr id="25" name="TextBox 34">
              <a:extLst>
                <a:ext uri="{FF2B5EF4-FFF2-40B4-BE49-F238E27FC236}">
                  <a16:creationId xmlns:a16="http://schemas.microsoft.com/office/drawing/2014/main" id="{D96875E7-55B6-5548-8649-D8BC4583E42A}"/>
                </a:ext>
              </a:extLst>
            </xdr:cNvPr>
            <xdr:cNvSpPr txBox="1"/>
          </xdr:nvSpPr>
          <xdr:spPr>
            <a:xfrm>
              <a:off x="6426200" y="2956410"/>
              <a:ext cx="1457006" cy="567382"/>
            </a:xfrm>
            <a:prstGeom prst="roundRect">
              <a:avLst/>
            </a:prstGeom>
            <a:solidFill>
              <a:schemeClr val="bg1">
                <a:lumMod val="95000"/>
              </a:schemeClr>
            </a:solidFill>
            <a:ln>
              <a:solidFill>
                <a:srgbClr val="0033CC"/>
              </a:solid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200" b="1">
                  <a:solidFill>
                    <a:srgbClr val="0033CC"/>
                  </a:solidFill>
                </a:rPr>
                <a:t>Подготовить образы контейнеров</a:t>
              </a:r>
              <a:endParaRPr lang="en-US" sz="1200" b="1">
                <a:solidFill>
                  <a:srgbClr val="0033CC"/>
                </a:solidFill>
              </a:endParaRPr>
            </a:p>
          </xdr:txBody>
        </xdr:sp>
        <xdr:sp macro="" textlink="">
          <xdr:nvSpPr>
            <xdr:cNvPr id="26" name="TextBox 35">
              <a:extLst>
                <a:ext uri="{FF2B5EF4-FFF2-40B4-BE49-F238E27FC236}">
                  <a16:creationId xmlns:a16="http://schemas.microsoft.com/office/drawing/2014/main" id="{9A5C71BA-31A9-F4BD-BFD1-B23A657C5DA1}"/>
                </a:ext>
              </a:extLst>
            </xdr:cNvPr>
            <xdr:cNvSpPr txBox="1"/>
          </xdr:nvSpPr>
          <xdr:spPr>
            <a:xfrm>
              <a:off x="8440899" y="2956410"/>
              <a:ext cx="1457006" cy="567382"/>
            </a:xfrm>
            <a:prstGeom prst="roundRect">
              <a:avLst/>
            </a:prstGeom>
            <a:solidFill>
              <a:schemeClr val="bg1">
                <a:lumMod val="95000"/>
              </a:schemeClr>
            </a:solidFill>
            <a:ln>
              <a:solidFill>
                <a:srgbClr val="0033CC"/>
              </a:solid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200" b="1">
                  <a:solidFill>
                    <a:srgbClr val="0033CC"/>
                  </a:solidFill>
                </a:rPr>
                <a:t>Подготовить манифесты</a:t>
              </a:r>
              <a:endParaRPr lang="en-US" sz="1200" b="1">
                <a:solidFill>
                  <a:srgbClr val="0033CC"/>
                </a:solidFill>
              </a:endParaRPr>
            </a:p>
          </xdr:txBody>
        </xdr:sp>
      </xdr:grpSp>
      <xdr:grpSp>
        <xdr:nvGrpSpPr>
          <xdr:cNvPr id="16" name="Группа 15">
            <a:extLst>
              <a:ext uri="{FF2B5EF4-FFF2-40B4-BE49-F238E27FC236}">
                <a16:creationId xmlns:a16="http://schemas.microsoft.com/office/drawing/2014/main" id="{4DC7ADD0-723A-F968-7D74-325074B4E388}"/>
              </a:ext>
            </a:extLst>
          </xdr:cNvPr>
          <xdr:cNvGrpSpPr/>
        </xdr:nvGrpSpPr>
        <xdr:grpSpPr>
          <a:xfrm>
            <a:off x="2396802" y="2956410"/>
            <a:ext cx="3471705" cy="567382"/>
            <a:chOff x="2396802" y="2846542"/>
            <a:chExt cx="3471705" cy="567382"/>
          </a:xfrm>
        </xdr:grpSpPr>
        <xdr:sp macro="" textlink="">
          <xdr:nvSpPr>
            <xdr:cNvPr id="23" name="TextBox 32">
              <a:extLst>
                <a:ext uri="{FF2B5EF4-FFF2-40B4-BE49-F238E27FC236}">
                  <a16:creationId xmlns:a16="http://schemas.microsoft.com/office/drawing/2014/main" id="{BCF8554D-FB9F-8AC1-9285-ACAAC8E2CF6D}"/>
                </a:ext>
              </a:extLst>
            </xdr:cNvPr>
            <xdr:cNvSpPr txBox="1"/>
          </xdr:nvSpPr>
          <xdr:spPr>
            <a:xfrm>
              <a:off x="2396802" y="2846542"/>
              <a:ext cx="1457006" cy="567382"/>
            </a:xfrm>
            <a:prstGeom prst="roundRect">
              <a:avLst/>
            </a:prstGeom>
            <a:solidFill>
              <a:schemeClr val="bg1">
                <a:lumMod val="95000"/>
              </a:schemeClr>
            </a:solidFill>
            <a:ln>
              <a:solidFill>
                <a:srgbClr val="0033CC"/>
              </a:solid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200" b="1">
                  <a:solidFill>
                    <a:srgbClr val="0033CC"/>
                  </a:solidFill>
                </a:rPr>
                <a:t>Установить </a:t>
              </a:r>
              <a:r>
                <a:rPr lang="en-US" sz="1200" b="1">
                  <a:solidFill>
                    <a:srgbClr val="0033CC"/>
                  </a:solidFill>
                </a:rPr>
                <a:t>Kubernetes</a:t>
              </a:r>
            </a:p>
          </xdr:txBody>
        </xdr:sp>
        <xdr:sp macro="" textlink="">
          <xdr:nvSpPr>
            <xdr:cNvPr id="24" name="TextBox 36">
              <a:extLst>
                <a:ext uri="{FF2B5EF4-FFF2-40B4-BE49-F238E27FC236}">
                  <a16:creationId xmlns:a16="http://schemas.microsoft.com/office/drawing/2014/main" id="{24EE58CF-786D-8068-8A4D-86B08A350C3C}"/>
                </a:ext>
              </a:extLst>
            </xdr:cNvPr>
            <xdr:cNvSpPr txBox="1"/>
          </xdr:nvSpPr>
          <xdr:spPr>
            <a:xfrm>
              <a:off x="4411501" y="2846542"/>
              <a:ext cx="1457006" cy="567382"/>
            </a:xfrm>
            <a:prstGeom prst="roundRect">
              <a:avLst/>
            </a:prstGeom>
            <a:solidFill>
              <a:schemeClr val="bg1">
                <a:lumMod val="95000"/>
              </a:schemeClr>
            </a:solidFill>
            <a:ln>
              <a:solidFill>
                <a:srgbClr val="0033CC"/>
              </a:solid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200" b="1">
                  <a:solidFill>
                    <a:srgbClr val="0033CC"/>
                  </a:solidFill>
                </a:rPr>
                <a:t>«Настроить» </a:t>
              </a:r>
              <a:r>
                <a:rPr lang="en-US" sz="1200" b="1">
                  <a:solidFill>
                    <a:srgbClr val="0033CC"/>
                  </a:solidFill>
                </a:rPr>
                <a:t>Kubernetes</a:t>
              </a:r>
            </a:p>
          </xdr:txBody>
        </xdr:sp>
      </xdr:grpSp>
      <xdr:sp macro="" textlink="">
        <xdr:nvSpPr>
          <xdr:cNvPr id="17" name="TextBox 37">
            <a:extLst>
              <a:ext uri="{FF2B5EF4-FFF2-40B4-BE49-F238E27FC236}">
                <a16:creationId xmlns:a16="http://schemas.microsoft.com/office/drawing/2014/main" id="{AA06FE97-647E-5F9F-FD9D-5E02F7169E97}"/>
              </a:ext>
            </a:extLst>
          </xdr:cNvPr>
          <xdr:cNvSpPr txBox="1"/>
        </xdr:nvSpPr>
        <xdr:spPr>
          <a:xfrm>
            <a:off x="10455598" y="2956410"/>
            <a:ext cx="1457006" cy="567382"/>
          </a:xfrm>
          <a:prstGeom prst="roundRect">
            <a:avLst/>
          </a:prstGeom>
          <a:solidFill>
            <a:schemeClr val="bg1">
              <a:lumMod val="95000"/>
            </a:schemeClr>
          </a:solidFill>
          <a:ln>
            <a:solidFill>
              <a:srgbClr val="0033CC"/>
            </a:solid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200" b="1">
                <a:solidFill>
                  <a:srgbClr val="0033CC"/>
                </a:solidFill>
              </a:rPr>
              <a:t>Поддерживать приложение</a:t>
            </a:r>
            <a:endParaRPr lang="en-US" sz="1200" b="1">
              <a:solidFill>
                <a:srgbClr val="0033CC"/>
              </a:solidFill>
            </a:endParaRPr>
          </a:p>
        </xdr:txBody>
      </xdr:sp>
      <xdr:sp macro="" textlink="">
        <xdr:nvSpPr>
          <xdr:cNvPr id="18" name="Овал 17">
            <a:extLst>
              <a:ext uri="{FF2B5EF4-FFF2-40B4-BE49-F238E27FC236}">
                <a16:creationId xmlns:a16="http://schemas.microsoft.com/office/drawing/2014/main" id="{7EC7996B-3902-CC0F-3A5C-6FC9A0F40CF4}"/>
              </a:ext>
            </a:extLst>
          </xdr:cNvPr>
          <xdr:cNvSpPr/>
        </xdr:nvSpPr>
        <xdr:spPr>
          <a:xfrm>
            <a:off x="4028434" y="3135880"/>
            <a:ext cx="208442" cy="208442"/>
          </a:xfrm>
          <a:prstGeom prst="ellipse">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19" name="Овал 18">
            <a:extLst>
              <a:ext uri="{FF2B5EF4-FFF2-40B4-BE49-F238E27FC236}">
                <a16:creationId xmlns:a16="http://schemas.microsoft.com/office/drawing/2014/main" id="{44CC6869-AF90-6A1E-7236-E331D2484A6A}"/>
              </a:ext>
            </a:extLst>
          </xdr:cNvPr>
          <xdr:cNvSpPr/>
        </xdr:nvSpPr>
        <xdr:spPr>
          <a:xfrm>
            <a:off x="2013735" y="3135880"/>
            <a:ext cx="208442" cy="208442"/>
          </a:xfrm>
          <a:prstGeom prst="ellipse">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20" name="Овал 19">
            <a:extLst>
              <a:ext uri="{FF2B5EF4-FFF2-40B4-BE49-F238E27FC236}">
                <a16:creationId xmlns:a16="http://schemas.microsoft.com/office/drawing/2014/main" id="{8968C183-A47C-C267-F5E4-E215ABD7053E}"/>
              </a:ext>
            </a:extLst>
          </xdr:cNvPr>
          <xdr:cNvSpPr/>
        </xdr:nvSpPr>
        <xdr:spPr>
          <a:xfrm>
            <a:off x="6043133" y="3135880"/>
            <a:ext cx="208442" cy="208442"/>
          </a:xfrm>
          <a:prstGeom prst="ellipse">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21" name="Овал 20">
            <a:extLst>
              <a:ext uri="{FF2B5EF4-FFF2-40B4-BE49-F238E27FC236}">
                <a16:creationId xmlns:a16="http://schemas.microsoft.com/office/drawing/2014/main" id="{7DD02BF3-D606-3FAA-14B4-6C173C2CB5F6}"/>
              </a:ext>
            </a:extLst>
          </xdr:cNvPr>
          <xdr:cNvSpPr/>
        </xdr:nvSpPr>
        <xdr:spPr>
          <a:xfrm>
            <a:off x="8057832" y="3135880"/>
            <a:ext cx="208442" cy="208442"/>
          </a:xfrm>
          <a:prstGeom prst="ellipse">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sp macro="" textlink="">
        <xdr:nvSpPr>
          <xdr:cNvPr id="22" name="Овал 21">
            <a:extLst>
              <a:ext uri="{FF2B5EF4-FFF2-40B4-BE49-F238E27FC236}">
                <a16:creationId xmlns:a16="http://schemas.microsoft.com/office/drawing/2014/main" id="{1AB2BB23-8DFB-3E4B-55CC-325DD64FB961}"/>
              </a:ext>
            </a:extLst>
          </xdr:cNvPr>
          <xdr:cNvSpPr/>
        </xdr:nvSpPr>
        <xdr:spPr>
          <a:xfrm>
            <a:off x="10072531" y="3135880"/>
            <a:ext cx="208442" cy="208442"/>
          </a:xfrm>
          <a:prstGeom prst="ellipse">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p>
        </xdr:txBody>
      </xdr:sp>
    </xdr:grpSp>
    <xdr:clientData/>
  </xdr:twoCellAnchor>
  <xdr:twoCellAnchor>
    <xdr:from>
      <xdr:col>8</xdr:col>
      <xdr:colOff>390224</xdr:colOff>
      <xdr:row>11</xdr:row>
      <xdr:rowOff>0</xdr:rowOff>
    </xdr:from>
    <xdr:to>
      <xdr:col>19</xdr:col>
      <xdr:colOff>350430</xdr:colOff>
      <xdr:row>19</xdr:row>
      <xdr:rowOff>40769</xdr:rowOff>
    </xdr:to>
    <xdr:grpSp>
      <xdr:nvGrpSpPr>
        <xdr:cNvPr id="29" name="Группа 28">
          <a:extLst>
            <a:ext uri="{FF2B5EF4-FFF2-40B4-BE49-F238E27FC236}">
              <a16:creationId xmlns:a16="http://schemas.microsoft.com/office/drawing/2014/main" id="{0CBE6893-BD15-4A7D-9E41-7BBDC0BE7762}"/>
            </a:ext>
          </a:extLst>
        </xdr:cNvPr>
        <xdr:cNvGrpSpPr/>
      </xdr:nvGrpSpPr>
      <xdr:grpSpPr>
        <a:xfrm>
          <a:off x="5231165" y="2420471"/>
          <a:ext cx="6616500" cy="1564769"/>
          <a:chOff x="5308979" y="1129333"/>
          <a:chExt cx="6665806" cy="1594952"/>
        </a:xfrm>
      </xdr:grpSpPr>
      <xdr:sp macro="" textlink="">
        <xdr:nvSpPr>
          <xdr:cNvPr id="112" name="Параллелограмм 111">
            <a:extLst>
              <a:ext uri="{FF2B5EF4-FFF2-40B4-BE49-F238E27FC236}">
                <a16:creationId xmlns:a16="http://schemas.microsoft.com/office/drawing/2014/main" id="{3158745B-2F8B-47CF-B5A8-7323B88E92BE}"/>
              </a:ext>
            </a:extLst>
          </xdr:cNvPr>
          <xdr:cNvSpPr/>
        </xdr:nvSpPr>
        <xdr:spPr bwMode="auto">
          <a:xfrm flipH="1">
            <a:off x="9132722" y="2333760"/>
            <a:ext cx="417513" cy="390525"/>
          </a:xfrm>
          <a:prstGeom prst="parallelogram">
            <a:avLst/>
          </a:prstGeom>
          <a:solidFill>
            <a:srgbClr val="20C8D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i="0" u="none" strike="noStrike" kern="0" cap="none" spc="0" normalizeH="0" baseline="0">
              <a:ln>
                <a:noFill/>
              </a:ln>
              <a:solidFill>
                <a:srgbClr val="001031"/>
              </a:solidFill>
              <a:effectLst/>
              <a:uLnTx/>
              <a:uFillTx/>
              <a:latin typeface="Segoe UI"/>
            </a:endParaRPr>
          </a:p>
        </xdr:txBody>
      </xdr:sp>
      <xdr:sp macro="" textlink="">
        <xdr:nvSpPr>
          <xdr:cNvPr id="113" name="Прямоугольник: скругленные углы 5">
            <a:extLst>
              <a:ext uri="{FF2B5EF4-FFF2-40B4-BE49-F238E27FC236}">
                <a16:creationId xmlns:a16="http://schemas.microsoft.com/office/drawing/2014/main" id="{6D72EE84-B121-4EDA-81C1-CFB500B262F8}"/>
              </a:ext>
            </a:extLst>
          </xdr:cNvPr>
          <xdr:cNvSpPr/>
        </xdr:nvSpPr>
        <xdr:spPr bwMode="auto">
          <a:xfrm>
            <a:off x="9132722" y="1735449"/>
            <a:ext cx="2263775" cy="731520"/>
          </a:xfrm>
          <a:prstGeom prst="roundRect">
            <a:avLst/>
          </a:prstGeom>
          <a:solidFill>
            <a:srgbClr val="43D1A1"/>
          </a:solidFill>
          <a:ln w="19050">
            <a:solidFill>
              <a:schemeClr val="bg1"/>
            </a:solid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Контролировать приложение</a:t>
            </a:r>
            <a:endParaRPr lang="en-US" sz="1400" b="1" cap="all">
              <a:solidFill>
                <a:schemeClr val="bg1"/>
              </a:solidFill>
              <a:latin typeface="Segoe UI" panose="020B0502040204020203" pitchFamily="34" charset="0"/>
              <a:ea typeface="Segoe UI" panose="020B0502040204020203" pitchFamily="34" charset="0"/>
              <a:cs typeface="Segoe UI" panose="020B0502040204020203" pitchFamily="34" charset="0"/>
            </a:endParaRPr>
          </a:p>
        </xdr:txBody>
      </xdr:sp>
      <xdr:sp macro="" textlink="">
        <xdr:nvSpPr>
          <xdr:cNvPr id="114" name="Прямоугольник 113">
            <a:extLst>
              <a:ext uri="{FF2B5EF4-FFF2-40B4-BE49-F238E27FC236}">
                <a16:creationId xmlns:a16="http://schemas.microsoft.com/office/drawing/2014/main" id="{92BF74CC-D946-4D18-A1FB-1D95EFB9480E}"/>
              </a:ext>
            </a:extLst>
          </xdr:cNvPr>
          <xdr:cNvSpPr/>
        </xdr:nvSpPr>
        <xdr:spPr bwMode="auto">
          <a:xfrm>
            <a:off x="5308979" y="1129333"/>
            <a:ext cx="3425854" cy="602940"/>
          </a:xfrm>
          <a:prstGeom prst="rect">
            <a:avLst/>
          </a:prstGeom>
          <a:noFill/>
          <a:ln>
            <a:noFill/>
          </a:ln>
        </xdr:spPr>
        <xdr:txBody>
          <a:bodyPr wrap="square" lIns="0" tIns="0" rIns="9144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r" defTabSz="914400" eaLnBrk="1" fontAlgn="auto" latinLnBrk="0" hangingPunct="1">
              <a:lnSpc>
                <a:spcPct val="100000"/>
              </a:lnSpc>
              <a:spcBef>
                <a:spcPts val="0"/>
              </a:spcBef>
              <a:spcAft>
                <a:spcPts val="0"/>
              </a:spcAft>
              <a:buClrTx/>
              <a:buSzTx/>
              <a:buFontTx/>
              <a:buNone/>
              <a:tabLst/>
            </a:pPr>
            <a:r>
              <a:rPr kumimoji="0" lang="ru-RU" sz="1200" i="0" u="none" strike="noStrike" kern="0" cap="none" spc="0" normalizeH="0" baseline="0">
                <a:ln>
                  <a:noFill/>
                </a:ln>
                <a:solidFill>
                  <a:srgbClr val="001031"/>
                </a:solidFill>
                <a:effectLst/>
                <a:uLnTx/>
                <a:uFillTx/>
                <a:latin typeface="Segoe UI"/>
              </a:rPr>
              <a:t>Мониторинг работоспособности приложения, поиск ошибок, оптимизация и т.д.</a:t>
            </a:r>
            <a:endParaRPr kumimoji="0" lang="en-US" sz="1200" i="0" u="none" strike="noStrike" kern="0" cap="none" spc="0" normalizeH="0" baseline="0">
              <a:ln>
                <a:noFill/>
              </a:ln>
              <a:solidFill>
                <a:srgbClr val="001031"/>
              </a:solidFill>
              <a:effectLst/>
              <a:uLnTx/>
              <a:uFillTx/>
              <a:latin typeface="Segoe UI"/>
            </a:endParaRPr>
          </a:p>
        </xdr:txBody>
      </xdr:sp>
      <xdr:sp macro="" textlink="">
        <xdr:nvSpPr>
          <xdr:cNvPr id="115" name="TextBox 7">
            <a:extLst>
              <a:ext uri="{FF2B5EF4-FFF2-40B4-BE49-F238E27FC236}">
                <a16:creationId xmlns:a16="http://schemas.microsoft.com/office/drawing/2014/main" id="{AD4A6B6C-6281-4728-BA47-E53799F416DF}"/>
              </a:ext>
            </a:extLst>
          </xdr:cNvPr>
          <xdr:cNvSpPr txBox="1"/>
        </xdr:nvSpPr>
        <xdr:spPr>
          <a:xfrm>
            <a:off x="9242793" y="1498493"/>
            <a:ext cx="1055412" cy="236956"/>
          </a:xfrm>
          <a:prstGeom prst="rect">
            <a:avLst/>
          </a:prstGeom>
          <a:no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b="1">
                <a:solidFill>
                  <a:srgbClr val="43D1A1"/>
                </a:solidFill>
                <a:latin typeface="Segoe UI" panose="020B0502040204020203" pitchFamily="34" charset="0"/>
                <a:ea typeface="Segoe UI" panose="020B0502040204020203" pitchFamily="34" charset="0"/>
                <a:cs typeface="Segoe UI" panose="020B0502040204020203" pitchFamily="34" charset="0"/>
              </a:rPr>
              <a:t>Шаг </a:t>
            </a:r>
            <a:r>
              <a:rPr lang="en-US" sz="1400" b="1">
                <a:solidFill>
                  <a:srgbClr val="43D1A1"/>
                </a:solidFill>
                <a:latin typeface="Segoe UI" panose="020B0502040204020203" pitchFamily="34" charset="0"/>
                <a:ea typeface="Segoe UI" panose="020B0502040204020203" pitchFamily="34" charset="0"/>
                <a:cs typeface="Segoe UI" panose="020B0502040204020203" pitchFamily="34" charset="0"/>
              </a:rPr>
              <a:t>#</a:t>
            </a:r>
            <a:r>
              <a:rPr lang="ru-RU" sz="1400" b="1">
                <a:solidFill>
                  <a:srgbClr val="43D1A1"/>
                </a:solidFill>
                <a:latin typeface="Segoe UI" panose="020B0502040204020203" pitchFamily="34" charset="0"/>
                <a:ea typeface="Segoe UI" panose="020B0502040204020203" pitchFamily="34" charset="0"/>
                <a:cs typeface="Segoe UI" panose="020B0502040204020203" pitchFamily="34" charset="0"/>
              </a:rPr>
              <a:t>5</a:t>
            </a:r>
            <a:endParaRPr lang="en-US" sz="1400" b="1">
              <a:solidFill>
                <a:srgbClr val="43D1A1"/>
              </a:solidFill>
              <a:latin typeface="Segoe UI" panose="020B0502040204020203" pitchFamily="34" charset="0"/>
              <a:ea typeface="Segoe UI" panose="020B0502040204020203" pitchFamily="34" charset="0"/>
              <a:cs typeface="Segoe UI" panose="020B0502040204020203" pitchFamily="34" charset="0"/>
            </a:endParaRPr>
          </a:p>
        </xdr:txBody>
      </xdr:sp>
      <xdr:grpSp>
        <xdr:nvGrpSpPr>
          <xdr:cNvPr id="116" name="Группа 115">
            <a:extLst>
              <a:ext uri="{FF2B5EF4-FFF2-40B4-BE49-F238E27FC236}">
                <a16:creationId xmlns:a16="http://schemas.microsoft.com/office/drawing/2014/main" id="{D4039A75-5166-4607-AD56-D221B890F905}"/>
              </a:ext>
            </a:extLst>
          </xdr:cNvPr>
          <xdr:cNvGrpSpPr>
            <a:grpSpLocks noChangeAspect="1"/>
          </xdr:cNvGrpSpPr>
        </xdr:nvGrpSpPr>
        <xdr:grpSpPr>
          <a:xfrm>
            <a:off x="11515031" y="1817518"/>
            <a:ext cx="459754" cy="567382"/>
            <a:chOff x="2963653" y="203674"/>
            <a:chExt cx="5472608" cy="6753713"/>
          </a:xfrm>
          <a:solidFill>
            <a:srgbClr val="0033CC"/>
          </a:solidFill>
        </xdr:grpSpPr>
        <xdr:sp macro="" textlink="">
          <xdr:nvSpPr>
            <xdr:cNvPr id="119" name="Полилиния 118">
              <a:extLst>
                <a:ext uri="{FF2B5EF4-FFF2-40B4-BE49-F238E27FC236}">
                  <a16:creationId xmlns:a16="http://schemas.microsoft.com/office/drawing/2014/main" id="{34D3F94E-A3BD-4F8D-B4D5-7DBB12791C4C}"/>
                </a:ext>
              </a:extLst>
            </xdr:cNvPr>
            <xdr:cNvSpPr/>
          </xdr:nvSpPr>
          <xdr:spPr bwMode="auto">
            <a:xfrm>
              <a:off x="2963653" y="3825048"/>
              <a:ext cx="5472608" cy="3132339"/>
            </a:xfrm>
            <a:custGeom>
              <a:avLst/>
              <a:gdLst>
                <a:gd name="connsiteX0" fmla="*/ 4661169 w 5472608"/>
                <a:gd name="connsiteY0" fmla="*/ 404056 h 3132348"/>
                <a:gd name="connsiteX1" fmla="*/ 4661169 w 5472608"/>
                <a:gd name="connsiteY1" fmla="*/ 2720536 h 3132348"/>
                <a:gd name="connsiteX2" fmla="*/ 5046931 w 5472608"/>
                <a:gd name="connsiteY2" fmla="*/ 2720536 h 3132348"/>
                <a:gd name="connsiteX3" fmla="*/ 5046931 w 5472608"/>
                <a:gd name="connsiteY3" fmla="*/ 404056 h 3132348"/>
                <a:gd name="connsiteX4" fmla="*/ 3602296 w 5472608"/>
                <a:gd name="connsiteY4" fmla="*/ 404056 h 3132348"/>
                <a:gd name="connsiteX5" fmla="*/ 3602296 w 5472608"/>
                <a:gd name="connsiteY5" fmla="*/ 2720536 h 3132348"/>
                <a:gd name="connsiteX6" fmla="*/ 3988058 w 5472608"/>
                <a:gd name="connsiteY6" fmla="*/ 2720536 h 3132348"/>
                <a:gd name="connsiteX7" fmla="*/ 3988058 w 5472608"/>
                <a:gd name="connsiteY7" fmla="*/ 404056 h 3132348"/>
                <a:gd name="connsiteX8" fmla="*/ 2543423 w 5472608"/>
                <a:gd name="connsiteY8" fmla="*/ 404056 h 3132348"/>
                <a:gd name="connsiteX9" fmla="*/ 2543423 w 5472608"/>
                <a:gd name="connsiteY9" fmla="*/ 2720536 h 3132348"/>
                <a:gd name="connsiteX10" fmla="*/ 2929185 w 5472608"/>
                <a:gd name="connsiteY10" fmla="*/ 2720536 h 3132348"/>
                <a:gd name="connsiteX11" fmla="*/ 2929185 w 5472608"/>
                <a:gd name="connsiteY11" fmla="*/ 404056 h 3132348"/>
                <a:gd name="connsiteX12" fmla="*/ 1484550 w 5472608"/>
                <a:gd name="connsiteY12" fmla="*/ 404056 h 3132348"/>
                <a:gd name="connsiteX13" fmla="*/ 1484550 w 5472608"/>
                <a:gd name="connsiteY13" fmla="*/ 2720536 h 3132348"/>
                <a:gd name="connsiteX14" fmla="*/ 1870312 w 5472608"/>
                <a:gd name="connsiteY14" fmla="*/ 2720536 h 3132348"/>
                <a:gd name="connsiteX15" fmla="*/ 1870312 w 5472608"/>
                <a:gd name="connsiteY15" fmla="*/ 404056 h 3132348"/>
                <a:gd name="connsiteX16" fmla="*/ 425677 w 5472608"/>
                <a:gd name="connsiteY16" fmla="*/ 404056 h 3132348"/>
                <a:gd name="connsiteX17" fmla="*/ 425677 w 5472608"/>
                <a:gd name="connsiteY17" fmla="*/ 2720536 h 3132348"/>
                <a:gd name="connsiteX18" fmla="*/ 811439 w 5472608"/>
                <a:gd name="connsiteY18" fmla="*/ 2720536 h 3132348"/>
                <a:gd name="connsiteX19" fmla="*/ 811439 w 5472608"/>
                <a:gd name="connsiteY19" fmla="*/ 404056 h 3132348"/>
                <a:gd name="connsiteX20" fmla="*/ 112483 w 5472608"/>
                <a:gd name="connsiteY20" fmla="*/ 0 h 3132348"/>
                <a:gd name="connsiteX21" fmla="*/ 5360125 w 5472608"/>
                <a:gd name="connsiteY21" fmla="*/ 0 h 3132348"/>
                <a:gd name="connsiteX22" fmla="*/ 5472608 w 5472608"/>
                <a:gd name="connsiteY22" fmla="*/ 112483 h 3132348"/>
                <a:gd name="connsiteX23" fmla="*/ 5472608 w 5472608"/>
                <a:gd name="connsiteY23" fmla="*/ 3019865 h 3132348"/>
                <a:gd name="connsiteX24" fmla="*/ 5360125 w 5472608"/>
                <a:gd name="connsiteY24" fmla="*/ 3132348 h 3132348"/>
                <a:gd name="connsiteX25" fmla="*/ 112483 w 5472608"/>
                <a:gd name="connsiteY25" fmla="*/ 3132348 h 3132348"/>
                <a:gd name="connsiteX26" fmla="*/ 0 w 5472608"/>
                <a:gd name="connsiteY26" fmla="*/ 3019865 h 3132348"/>
                <a:gd name="connsiteX27" fmla="*/ 0 w 5472608"/>
                <a:gd name="connsiteY27" fmla="*/ 112483 h 3132348"/>
                <a:gd name="connsiteX28" fmla="*/ 112483 w 5472608"/>
                <a:gd name="connsiteY28" fmla="*/ 0 h 31323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5472608" h="3132348">
                  <a:moveTo>
                    <a:pt x="4661169" y="404056"/>
                  </a:moveTo>
                  <a:lnTo>
                    <a:pt x="4661169" y="2720536"/>
                  </a:lnTo>
                  <a:lnTo>
                    <a:pt x="5046931" y="2720536"/>
                  </a:lnTo>
                  <a:lnTo>
                    <a:pt x="5046931" y="404056"/>
                  </a:lnTo>
                  <a:close/>
                  <a:moveTo>
                    <a:pt x="3602296" y="404056"/>
                  </a:moveTo>
                  <a:lnTo>
                    <a:pt x="3602296" y="2720536"/>
                  </a:lnTo>
                  <a:lnTo>
                    <a:pt x="3988058" y="2720536"/>
                  </a:lnTo>
                  <a:lnTo>
                    <a:pt x="3988058" y="404056"/>
                  </a:lnTo>
                  <a:close/>
                  <a:moveTo>
                    <a:pt x="2543423" y="404056"/>
                  </a:moveTo>
                  <a:lnTo>
                    <a:pt x="2543423" y="2720536"/>
                  </a:lnTo>
                  <a:lnTo>
                    <a:pt x="2929185" y="2720536"/>
                  </a:lnTo>
                  <a:lnTo>
                    <a:pt x="2929185" y="404056"/>
                  </a:lnTo>
                  <a:close/>
                  <a:moveTo>
                    <a:pt x="1484550" y="404056"/>
                  </a:moveTo>
                  <a:lnTo>
                    <a:pt x="1484550" y="2720536"/>
                  </a:lnTo>
                  <a:lnTo>
                    <a:pt x="1870312" y="2720536"/>
                  </a:lnTo>
                  <a:lnTo>
                    <a:pt x="1870312" y="404056"/>
                  </a:lnTo>
                  <a:close/>
                  <a:moveTo>
                    <a:pt x="425677" y="404056"/>
                  </a:moveTo>
                  <a:lnTo>
                    <a:pt x="425677" y="2720536"/>
                  </a:lnTo>
                  <a:lnTo>
                    <a:pt x="811439" y="2720536"/>
                  </a:lnTo>
                  <a:lnTo>
                    <a:pt x="811439" y="404056"/>
                  </a:lnTo>
                  <a:close/>
                  <a:moveTo>
                    <a:pt x="112483" y="0"/>
                  </a:moveTo>
                  <a:lnTo>
                    <a:pt x="5360125" y="0"/>
                  </a:lnTo>
                  <a:cubicBezTo>
                    <a:pt x="5422248" y="0"/>
                    <a:pt x="5472608" y="50360"/>
                    <a:pt x="5472608" y="112483"/>
                  </a:cubicBezTo>
                  <a:lnTo>
                    <a:pt x="5472608" y="3019865"/>
                  </a:lnTo>
                  <a:cubicBezTo>
                    <a:pt x="5472608" y="3081988"/>
                    <a:pt x="5422248" y="3132348"/>
                    <a:pt x="5360125" y="3132348"/>
                  </a:cubicBezTo>
                  <a:lnTo>
                    <a:pt x="112483" y="3132348"/>
                  </a:lnTo>
                  <a:cubicBezTo>
                    <a:pt x="50360" y="3132348"/>
                    <a:pt x="0" y="3081988"/>
                    <a:pt x="0" y="3019865"/>
                  </a:cubicBezTo>
                  <a:lnTo>
                    <a:pt x="0" y="112483"/>
                  </a:lnTo>
                  <a:cubicBezTo>
                    <a:pt x="0" y="50360"/>
                    <a:pt x="50360" y="0"/>
                    <a:pt x="112483"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0" name="Полилиния 119">
              <a:extLst>
                <a:ext uri="{FF2B5EF4-FFF2-40B4-BE49-F238E27FC236}">
                  <a16:creationId xmlns:a16="http://schemas.microsoft.com/office/drawing/2014/main" id="{F94E6137-BAC9-4909-BF5B-89326ACA1292}"/>
                </a:ext>
              </a:extLst>
            </xdr:cNvPr>
            <xdr:cNvSpPr/>
          </xdr:nvSpPr>
          <xdr:spPr bwMode="auto">
            <a:xfrm>
              <a:off x="3208540" y="3222504"/>
              <a:ext cx="468051" cy="555753"/>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1" name="Полилиния 120">
              <a:extLst>
                <a:ext uri="{FF2B5EF4-FFF2-40B4-BE49-F238E27FC236}">
                  <a16:creationId xmlns:a16="http://schemas.microsoft.com/office/drawing/2014/main" id="{3C95533F-FC06-470D-8030-B43E7B35E3C6}"/>
                </a:ext>
              </a:extLst>
            </xdr:cNvPr>
            <xdr:cNvSpPr/>
          </xdr:nvSpPr>
          <xdr:spPr bwMode="auto">
            <a:xfrm>
              <a:off x="5318419" y="1714499"/>
              <a:ext cx="799809" cy="822327"/>
            </a:xfrm>
            <a:custGeom>
              <a:avLst/>
              <a:gdLst>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50202 w 799805"/>
                <a:gd name="connsiteY4" fmla="*/ 547127 h 822323"/>
                <a:gd name="connsiteX5" fmla="*/ 166213 w 799805"/>
                <a:gd name="connsiteY5" fmla="*/ 581597 h 822323"/>
                <a:gd name="connsiteX6" fmla="*/ 203067 w 799805"/>
                <a:gd name="connsiteY6" fmla="*/ 617947 h 822323"/>
                <a:gd name="connsiteX7" fmla="*/ 250126 w 799805"/>
                <a:gd name="connsiteY7" fmla="*/ 639512 h 822323"/>
                <a:gd name="connsiteX8" fmla="*/ 288681 w 799805"/>
                <a:gd name="connsiteY8" fmla="*/ 667974 h 822323"/>
                <a:gd name="connsiteX9" fmla="*/ 309612 w 799805"/>
                <a:gd name="connsiteY9" fmla="*/ 691239 h 822323"/>
                <a:gd name="connsiteX10" fmla="*/ 538213 w 799805"/>
                <a:gd name="connsiteY10" fmla="*/ 800387 h 822323"/>
                <a:gd name="connsiteX11" fmla="*/ 493055 w 799805"/>
                <a:gd name="connsiteY11" fmla="*/ 814478 h 822323"/>
                <a:gd name="connsiteX12" fmla="*/ 415630 w 799805"/>
                <a:gd name="connsiteY12" fmla="*/ 822323 h 822323"/>
                <a:gd name="connsiteX13" fmla="*/ 119183 w 799805"/>
                <a:gd name="connsiteY13" fmla="*/ 681797 h 822323"/>
                <a:gd name="connsiteX14" fmla="*/ 75115 w 799805"/>
                <a:gd name="connsiteY14" fmla="*/ 608789 h 822323"/>
                <a:gd name="connsiteX15" fmla="*/ 64394 w 799805"/>
                <a:gd name="connsiteY15" fmla="*/ 609602 h 822323"/>
                <a:gd name="connsiteX16" fmla="*/ 41735 w 799805"/>
                <a:gd name="connsiteY16" fmla="*/ 594106 h 822323"/>
                <a:gd name="connsiteX17" fmla="*/ 39955 w 799805"/>
                <a:gd name="connsiteY17" fmla="*/ 592034 h 822323"/>
                <a:gd name="connsiteX18" fmla="*/ 56749 w 799805"/>
                <a:gd name="connsiteY18" fmla="*/ 555933 h 822323"/>
                <a:gd name="connsiteX19" fmla="*/ 63205 w 799805"/>
                <a:gd name="connsiteY19" fmla="*/ 509588 h 822323"/>
                <a:gd name="connsiteX20" fmla="*/ 13030 w 799805"/>
                <a:gd name="connsiteY20" fmla="*/ 399882 h 822323"/>
                <a:gd name="connsiteX21" fmla="*/ 0 w 799805"/>
                <a:gd name="connsiteY21" fmla="*/ 396069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39955 w 799805"/>
                <a:gd name="connsiteY16" fmla="*/ 592034 h 822323"/>
                <a:gd name="connsiteX17" fmla="*/ 56749 w 799805"/>
                <a:gd name="connsiteY17" fmla="*/ 555933 h 822323"/>
                <a:gd name="connsiteX18" fmla="*/ 63205 w 799805"/>
                <a:gd name="connsiteY18" fmla="*/ 509588 h 822323"/>
                <a:gd name="connsiteX19" fmla="*/ 13030 w 799805"/>
                <a:gd name="connsiteY19" fmla="*/ 399882 h 822323"/>
                <a:gd name="connsiteX20" fmla="*/ 0 w 799805"/>
                <a:gd name="connsiteY20" fmla="*/ 396069 h 822323"/>
                <a:gd name="connsiteX21" fmla="*/ 4863 w 799805"/>
                <a:gd name="connsiteY21" fmla="*/ 390526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38" fmla="*/ 275636 w 799805"/>
                <a:gd name="connsiteY38"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56749 w 799805"/>
                <a:gd name="connsiteY16" fmla="*/ 555933 h 822323"/>
                <a:gd name="connsiteX17" fmla="*/ 63205 w 799805"/>
                <a:gd name="connsiteY17" fmla="*/ 509588 h 822323"/>
                <a:gd name="connsiteX18" fmla="*/ 13030 w 799805"/>
                <a:gd name="connsiteY18" fmla="*/ 399882 h 822323"/>
                <a:gd name="connsiteX19" fmla="*/ 0 w 799805"/>
                <a:gd name="connsiteY19" fmla="*/ 396069 h 822323"/>
                <a:gd name="connsiteX20" fmla="*/ 4863 w 799805"/>
                <a:gd name="connsiteY20" fmla="*/ 390526 h 822323"/>
                <a:gd name="connsiteX21" fmla="*/ 275636 w 799805"/>
                <a:gd name="connsiteY21" fmla="*/ 0 h 822323"/>
                <a:gd name="connsiteX22" fmla="*/ 489448 w 799805"/>
                <a:gd name="connsiteY22" fmla="*/ 0 h 822323"/>
                <a:gd name="connsiteX23" fmla="*/ 489448 w 799805"/>
                <a:gd name="connsiteY23" fmla="*/ 57483 h 822323"/>
                <a:gd name="connsiteX24" fmla="*/ 493055 w 799805"/>
                <a:gd name="connsiteY24" fmla="*/ 57848 h 822323"/>
                <a:gd name="connsiteX25" fmla="*/ 799805 w 799805"/>
                <a:gd name="connsiteY25" fmla="*/ 436163 h 822323"/>
                <a:gd name="connsiteX26" fmla="*/ 769615 w 799805"/>
                <a:gd name="connsiteY26" fmla="*/ 586474 h 822323"/>
                <a:gd name="connsiteX27" fmla="*/ 746479 w 799805"/>
                <a:gd name="connsiteY27" fmla="*/ 629318 h 822323"/>
                <a:gd name="connsiteX28" fmla="*/ 744333 w 799805"/>
                <a:gd name="connsiteY28" fmla="*/ 626933 h 822323"/>
                <a:gd name="connsiteX29" fmla="*/ 538147 w 799805"/>
                <a:gd name="connsiteY29" fmla="*/ 528487 h 822323"/>
                <a:gd name="connsiteX30" fmla="*/ 551291 w 799805"/>
                <a:gd name="connsiteY30" fmla="*/ 505412 h 822323"/>
                <a:gd name="connsiteX31" fmla="*/ 563267 w 799805"/>
                <a:gd name="connsiteY31" fmla="*/ 435192 h 822323"/>
                <a:gd name="connsiteX32" fmla="*/ 470188 w 799805"/>
                <a:gd name="connsiteY32" fmla="*/ 268970 h 822323"/>
                <a:gd name="connsiteX33" fmla="*/ 420393 w 799805"/>
                <a:gd name="connsiteY33" fmla="*/ 257070 h 822323"/>
                <a:gd name="connsiteX34" fmla="*/ 372978 w 799805"/>
                <a:gd name="connsiteY34" fmla="*/ 244024 h 822323"/>
                <a:gd name="connsiteX35" fmla="*/ 291876 w 799805"/>
                <a:gd name="connsiteY35" fmla="*/ 154981 h 822323"/>
                <a:gd name="connsiteX36" fmla="*/ 281664 w 799805"/>
                <a:gd name="connsiteY36" fmla="*/ 99452 h 822323"/>
                <a:gd name="connsiteX37" fmla="*/ 275636 w 799805"/>
                <a:gd name="connsiteY37"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56749 w 799805"/>
                <a:gd name="connsiteY15" fmla="*/ 555933 h 822323"/>
                <a:gd name="connsiteX16" fmla="*/ 63205 w 799805"/>
                <a:gd name="connsiteY16" fmla="*/ 509588 h 822323"/>
                <a:gd name="connsiteX17" fmla="*/ 13030 w 799805"/>
                <a:gd name="connsiteY17" fmla="*/ 399882 h 822323"/>
                <a:gd name="connsiteX18" fmla="*/ 0 w 799805"/>
                <a:gd name="connsiteY18" fmla="*/ 396069 h 822323"/>
                <a:gd name="connsiteX19" fmla="*/ 4863 w 799805"/>
                <a:gd name="connsiteY19" fmla="*/ 390526 h 822323"/>
                <a:gd name="connsiteX20" fmla="*/ 275636 w 799805"/>
                <a:gd name="connsiteY20" fmla="*/ 0 h 822323"/>
                <a:gd name="connsiteX21" fmla="*/ 489448 w 799805"/>
                <a:gd name="connsiteY21" fmla="*/ 0 h 822323"/>
                <a:gd name="connsiteX22" fmla="*/ 489448 w 799805"/>
                <a:gd name="connsiteY22" fmla="*/ 57483 h 822323"/>
                <a:gd name="connsiteX23" fmla="*/ 493055 w 799805"/>
                <a:gd name="connsiteY23" fmla="*/ 57848 h 822323"/>
                <a:gd name="connsiteX24" fmla="*/ 799805 w 799805"/>
                <a:gd name="connsiteY24" fmla="*/ 436163 h 822323"/>
                <a:gd name="connsiteX25" fmla="*/ 769615 w 799805"/>
                <a:gd name="connsiteY25" fmla="*/ 586474 h 822323"/>
                <a:gd name="connsiteX26" fmla="*/ 746479 w 799805"/>
                <a:gd name="connsiteY26" fmla="*/ 629318 h 822323"/>
                <a:gd name="connsiteX27" fmla="*/ 744333 w 799805"/>
                <a:gd name="connsiteY27" fmla="*/ 626933 h 822323"/>
                <a:gd name="connsiteX28" fmla="*/ 538147 w 799805"/>
                <a:gd name="connsiteY28" fmla="*/ 528487 h 822323"/>
                <a:gd name="connsiteX29" fmla="*/ 551291 w 799805"/>
                <a:gd name="connsiteY29" fmla="*/ 505412 h 822323"/>
                <a:gd name="connsiteX30" fmla="*/ 563267 w 799805"/>
                <a:gd name="connsiteY30" fmla="*/ 435192 h 822323"/>
                <a:gd name="connsiteX31" fmla="*/ 470188 w 799805"/>
                <a:gd name="connsiteY31" fmla="*/ 268970 h 822323"/>
                <a:gd name="connsiteX32" fmla="*/ 420393 w 799805"/>
                <a:gd name="connsiteY32" fmla="*/ 257070 h 822323"/>
                <a:gd name="connsiteX33" fmla="*/ 372978 w 799805"/>
                <a:gd name="connsiteY33" fmla="*/ 244024 h 822323"/>
                <a:gd name="connsiteX34" fmla="*/ 291876 w 799805"/>
                <a:gd name="connsiteY34" fmla="*/ 154981 h 822323"/>
                <a:gd name="connsiteX35" fmla="*/ 281664 w 799805"/>
                <a:gd name="connsiteY35" fmla="*/ 99452 h 822323"/>
                <a:gd name="connsiteX36" fmla="*/ 275636 w 799805"/>
                <a:gd name="connsiteY36"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56749 w 799805"/>
                <a:gd name="connsiteY14" fmla="*/ 555933 h 822323"/>
                <a:gd name="connsiteX15" fmla="*/ 63205 w 799805"/>
                <a:gd name="connsiteY15" fmla="*/ 509588 h 822323"/>
                <a:gd name="connsiteX16" fmla="*/ 13030 w 799805"/>
                <a:gd name="connsiteY16" fmla="*/ 399882 h 822323"/>
                <a:gd name="connsiteX17" fmla="*/ 0 w 799805"/>
                <a:gd name="connsiteY17" fmla="*/ 396069 h 822323"/>
                <a:gd name="connsiteX18" fmla="*/ 4863 w 799805"/>
                <a:gd name="connsiteY18" fmla="*/ 390526 h 822323"/>
                <a:gd name="connsiteX19" fmla="*/ 275636 w 799805"/>
                <a:gd name="connsiteY19" fmla="*/ 0 h 822323"/>
                <a:gd name="connsiteX20" fmla="*/ 489448 w 799805"/>
                <a:gd name="connsiteY20" fmla="*/ 0 h 822323"/>
                <a:gd name="connsiteX21" fmla="*/ 489448 w 799805"/>
                <a:gd name="connsiteY21" fmla="*/ 57483 h 822323"/>
                <a:gd name="connsiteX22" fmla="*/ 493055 w 799805"/>
                <a:gd name="connsiteY22" fmla="*/ 57848 h 822323"/>
                <a:gd name="connsiteX23" fmla="*/ 799805 w 799805"/>
                <a:gd name="connsiteY23" fmla="*/ 436163 h 822323"/>
                <a:gd name="connsiteX24" fmla="*/ 769615 w 799805"/>
                <a:gd name="connsiteY24" fmla="*/ 586474 h 822323"/>
                <a:gd name="connsiteX25" fmla="*/ 746479 w 799805"/>
                <a:gd name="connsiteY25" fmla="*/ 629318 h 822323"/>
                <a:gd name="connsiteX26" fmla="*/ 744333 w 799805"/>
                <a:gd name="connsiteY26" fmla="*/ 626933 h 822323"/>
                <a:gd name="connsiteX27" fmla="*/ 538147 w 799805"/>
                <a:gd name="connsiteY27" fmla="*/ 528487 h 822323"/>
                <a:gd name="connsiteX28" fmla="*/ 551291 w 799805"/>
                <a:gd name="connsiteY28" fmla="*/ 505412 h 822323"/>
                <a:gd name="connsiteX29" fmla="*/ 563267 w 799805"/>
                <a:gd name="connsiteY29" fmla="*/ 435192 h 822323"/>
                <a:gd name="connsiteX30" fmla="*/ 470188 w 799805"/>
                <a:gd name="connsiteY30" fmla="*/ 268970 h 822323"/>
                <a:gd name="connsiteX31" fmla="*/ 420393 w 799805"/>
                <a:gd name="connsiteY31" fmla="*/ 257070 h 822323"/>
                <a:gd name="connsiteX32" fmla="*/ 372978 w 799805"/>
                <a:gd name="connsiteY32" fmla="*/ 244024 h 822323"/>
                <a:gd name="connsiteX33" fmla="*/ 291876 w 799805"/>
                <a:gd name="connsiteY33" fmla="*/ 154981 h 822323"/>
                <a:gd name="connsiteX34" fmla="*/ 281664 w 799805"/>
                <a:gd name="connsiteY34" fmla="*/ 99452 h 822323"/>
                <a:gd name="connsiteX35" fmla="*/ 275636 w 799805"/>
                <a:gd name="connsiteY35"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3205 w 799805"/>
                <a:gd name="connsiteY14" fmla="*/ 509588 h 822323"/>
                <a:gd name="connsiteX15" fmla="*/ 13030 w 799805"/>
                <a:gd name="connsiteY15" fmla="*/ 399882 h 822323"/>
                <a:gd name="connsiteX16" fmla="*/ 0 w 799805"/>
                <a:gd name="connsiteY16" fmla="*/ 396069 h 822323"/>
                <a:gd name="connsiteX17" fmla="*/ 4863 w 799805"/>
                <a:gd name="connsiteY17" fmla="*/ 390526 h 822323"/>
                <a:gd name="connsiteX18" fmla="*/ 275636 w 799805"/>
                <a:gd name="connsiteY18" fmla="*/ 0 h 822323"/>
                <a:gd name="connsiteX19" fmla="*/ 489448 w 799805"/>
                <a:gd name="connsiteY19" fmla="*/ 0 h 822323"/>
                <a:gd name="connsiteX20" fmla="*/ 489448 w 799805"/>
                <a:gd name="connsiteY20" fmla="*/ 57483 h 822323"/>
                <a:gd name="connsiteX21" fmla="*/ 493055 w 799805"/>
                <a:gd name="connsiteY21" fmla="*/ 57848 h 822323"/>
                <a:gd name="connsiteX22" fmla="*/ 799805 w 799805"/>
                <a:gd name="connsiteY22" fmla="*/ 436163 h 822323"/>
                <a:gd name="connsiteX23" fmla="*/ 769615 w 799805"/>
                <a:gd name="connsiteY23" fmla="*/ 586474 h 822323"/>
                <a:gd name="connsiteX24" fmla="*/ 746479 w 799805"/>
                <a:gd name="connsiteY24" fmla="*/ 629318 h 822323"/>
                <a:gd name="connsiteX25" fmla="*/ 744333 w 799805"/>
                <a:gd name="connsiteY25" fmla="*/ 626933 h 822323"/>
                <a:gd name="connsiteX26" fmla="*/ 538147 w 799805"/>
                <a:gd name="connsiteY26" fmla="*/ 528487 h 822323"/>
                <a:gd name="connsiteX27" fmla="*/ 551291 w 799805"/>
                <a:gd name="connsiteY27" fmla="*/ 505412 h 822323"/>
                <a:gd name="connsiteX28" fmla="*/ 563267 w 799805"/>
                <a:gd name="connsiteY28" fmla="*/ 435192 h 822323"/>
                <a:gd name="connsiteX29" fmla="*/ 470188 w 799805"/>
                <a:gd name="connsiteY29" fmla="*/ 268970 h 822323"/>
                <a:gd name="connsiteX30" fmla="*/ 420393 w 799805"/>
                <a:gd name="connsiteY30" fmla="*/ 257070 h 822323"/>
                <a:gd name="connsiteX31" fmla="*/ 372978 w 799805"/>
                <a:gd name="connsiteY31" fmla="*/ 244024 h 822323"/>
                <a:gd name="connsiteX32" fmla="*/ 291876 w 799805"/>
                <a:gd name="connsiteY32" fmla="*/ 154981 h 822323"/>
                <a:gd name="connsiteX33" fmla="*/ 281664 w 799805"/>
                <a:gd name="connsiteY33" fmla="*/ 99452 h 822323"/>
                <a:gd name="connsiteX34" fmla="*/ 275636 w 799805"/>
                <a:gd name="connsiteY34"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75115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0824 w 799805"/>
                <a:gd name="connsiteY13" fmla="*/ 473870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Lst>
              <a:rect l="l" t="t" r="r" b="b"/>
              <a:pathLst>
                <a:path w="799805" h="822323">
                  <a:moveTo>
                    <a:pt x="4863" y="390526"/>
                  </a:moveTo>
                  <a:cubicBezTo>
                    <a:pt x="24707" y="382985"/>
                    <a:pt x="78482" y="428720"/>
                    <a:pt x="101303" y="454820"/>
                  </a:cubicBezTo>
                  <a:cubicBezTo>
                    <a:pt x="124124" y="480920"/>
                    <a:pt x="130972" y="525998"/>
                    <a:pt x="141790" y="547127"/>
                  </a:cubicBezTo>
                  <a:lnTo>
                    <a:pt x="166213" y="581597"/>
                  </a:lnTo>
                  <a:cubicBezTo>
                    <a:pt x="175823" y="595258"/>
                    <a:pt x="188185" y="607675"/>
                    <a:pt x="203067" y="617947"/>
                  </a:cubicBezTo>
                  <a:cubicBezTo>
                    <a:pt x="217950" y="628218"/>
                    <a:pt x="233945" y="635371"/>
                    <a:pt x="250126" y="639512"/>
                  </a:cubicBezTo>
                  <a:lnTo>
                    <a:pt x="288681" y="667974"/>
                  </a:lnTo>
                  <a:cubicBezTo>
                    <a:pt x="292170" y="677840"/>
                    <a:pt x="299423" y="686374"/>
                    <a:pt x="309612" y="691239"/>
                  </a:cubicBezTo>
                  <a:lnTo>
                    <a:pt x="538213" y="800387"/>
                  </a:lnTo>
                  <a:lnTo>
                    <a:pt x="493055" y="814478"/>
                  </a:lnTo>
                  <a:cubicBezTo>
                    <a:pt x="468046" y="819622"/>
                    <a:pt x="442152" y="822323"/>
                    <a:pt x="415630" y="822323"/>
                  </a:cubicBezTo>
                  <a:cubicBezTo>
                    <a:pt x="296283" y="822323"/>
                    <a:pt x="189646" y="767619"/>
                    <a:pt x="119183" y="681797"/>
                  </a:cubicBezTo>
                  <a:lnTo>
                    <a:pt x="84640" y="608789"/>
                  </a:lnTo>
                  <a:cubicBezTo>
                    <a:pt x="77495" y="575722"/>
                    <a:pt x="72759" y="508688"/>
                    <a:pt x="60824" y="473870"/>
                  </a:cubicBezTo>
                  <a:cubicBezTo>
                    <a:pt x="48889" y="439052"/>
                    <a:pt x="42516" y="417956"/>
                    <a:pt x="13030" y="399882"/>
                  </a:cubicBezTo>
                  <a:lnTo>
                    <a:pt x="0" y="396069"/>
                  </a:lnTo>
                  <a:lnTo>
                    <a:pt x="4863" y="390526"/>
                  </a:lnTo>
                  <a:close/>
                  <a:moveTo>
                    <a:pt x="275636" y="0"/>
                  </a:moveTo>
                  <a:lnTo>
                    <a:pt x="489448" y="0"/>
                  </a:lnTo>
                  <a:lnTo>
                    <a:pt x="489448" y="57483"/>
                  </a:lnTo>
                  <a:lnTo>
                    <a:pt x="493055" y="57848"/>
                  </a:lnTo>
                  <a:cubicBezTo>
                    <a:pt x="668117" y="93857"/>
                    <a:pt x="799805" y="249552"/>
                    <a:pt x="799805" y="436163"/>
                  </a:cubicBezTo>
                  <a:cubicBezTo>
                    <a:pt x="799805" y="489481"/>
                    <a:pt x="789055" y="540274"/>
                    <a:pt x="769615" y="586474"/>
                  </a:cubicBezTo>
                  <a:lnTo>
                    <a:pt x="746479" y="629318"/>
                  </a:lnTo>
                  <a:lnTo>
                    <a:pt x="744333" y="626933"/>
                  </a:lnTo>
                  <a:lnTo>
                    <a:pt x="538147" y="528487"/>
                  </a:lnTo>
                  <a:lnTo>
                    <a:pt x="551291" y="505412"/>
                  </a:lnTo>
                  <a:cubicBezTo>
                    <a:pt x="559003" y="483829"/>
                    <a:pt x="563267" y="460100"/>
                    <a:pt x="563267" y="435192"/>
                  </a:cubicBezTo>
                  <a:cubicBezTo>
                    <a:pt x="563267" y="360468"/>
                    <a:pt x="524887" y="296356"/>
                    <a:pt x="470188" y="268970"/>
                  </a:cubicBezTo>
                  <a:lnTo>
                    <a:pt x="420393" y="257070"/>
                  </a:lnTo>
                  <a:lnTo>
                    <a:pt x="372978" y="244024"/>
                  </a:lnTo>
                  <a:cubicBezTo>
                    <a:pt x="336513" y="227090"/>
                    <a:pt x="307299" y="195017"/>
                    <a:pt x="291876" y="154981"/>
                  </a:cubicBezTo>
                  <a:lnTo>
                    <a:pt x="281664" y="99452"/>
                  </a:lnTo>
                  <a:lnTo>
                    <a:pt x="275636" y="0"/>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2" name="Полилиния 121">
              <a:extLst>
                <a:ext uri="{FF2B5EF4-FFF2-40B4-BE49-F238E27FC236}">
                  <a16:creationId xmlns:a16="http://schemas.microsoft.com/office/drawing/2014/main" id="{1817611C-954F-4C8C-A07E-5029FEB1131E}"/>
                </a:ext>
              </a:extLst>
            </xdr:cNvPr>
            <xdr:cNvSpPr/>
          </xdr:nvSpPr>
          <xdr:spPr bwMode="auto">
            <a:xfrm flipH="1">
              <a:off x="5290648" y="652464"/>
              <a:ext cx="810201" cy="1013184"/>
            </a:xfrm>
            <a:custGeom>
              <a:avLst/>
              <a:gdLst>
                <a:gd name="connsiteX0" fmla="*/ 171535 w 810205"/>
                <a:gd name="connsiteY0" fmla="*/ 207172 h 1013180"/>
                <a:gd name="connsiteX1" fmla="*/ 700173 w 810205"/>
                <a:gd name="connsiteY1" fmla="*/ 514353 h 1013180"/>
                <a:gd name="connsiteX2" fmla="*/ 645404 w 810205"/>
                <a:gd name="connsiteY2" fmla="*/ 689945 h 1013180"/>
                <a:gd name="connsiteX3" fmla="*/ 550243 w 810205"/>
                <a:gd name="connsiteY3" fmla="*/ 635750 h 1013180"/>
                <a:gd name="connsiteX4" fmla="*/ 541515 w 810205"/>
                <a:gd name="connsiteY4" fmla="*/ 678979 h 1013180"/>
                <a:gd name="connsiteX5" fmla="*/ 464104 w 810205"/>
                <a:gd name="connsiteY5" fmla="*/ 756390 h 1013180"/>
                <a:gd name="connsiteX6" fmla="*/ 446248 w 810205"/>
                <a:gd name="connsiteY6" fmla="*/ 759995 h 1013180"/>
                <a:gd name="connsiteX7" fmla="*/ 550154 w 810205"/>
                <a:gd name="connsiteY7" fmla="*/ 819644 h 1013180"/>
                <a:gd name="connsiteX8" fmla="*/ 210334 w 810205"/>
                <a:gd name="connsiteY8" fmla="*/ 819644 h 1013180"/>
                <a:gd name="connsiteX9" fmla="*/ 139500 w 810205"/>
                <a:gd name="connsiteY9" fmla="*/ 583902 h 1013180"/>
                <a:gd name="connsiteX10" fmla="*/ 269302 w 810205"/>
                <a:gd name="connsiteY10" fmla="*/ 658417 h 1013180"/>
                <a:gd name="connsiteX11" fmla="*/ 262022 w 810205"/>
                <a:gd name="connsiteY11" fmla="*/ 622359 h 1013180"/>
                <a:gd name="connsiteX12" fmla="*/ 304627 w 810205"/>
                <a:gd name="connsiteY12" fmla="*/ 519502 h 1013180"/>
                <a:gd name="connsiteX13" fmla="*/ 323628 w 810205"/>
                <a:gd name="connsiteY13" fmla="*/ 506692 h 1013180"/>
                <a:gd name="connsiteX14" fmla="*/ 114385 w 810205"/>
                <a:gd name="connsiteY14" fmla="*/ 387527 h 1013180"/>
                <a:gd name="connsiteX15" fmla="*/ 596002 w 810205"/>
                <a:gd name="connsiteY15" fmla="*/ 85728 h 1013180"/>
                <a:gd name="connsiteX16" fmla="*/ 666836 w 810205"/>
                <a:gd name="connsiteY16" fmla="*/ 321470 h 1013180"/>
                <a:gd name="connsiteX17" fmla="*/ 256182 w 810205"/>
                <a:gd name="connsiteY17" fmla="*/ 85728 h 1013180"/>
                <a:gd name="connsiteX18" fmla="*/ 635245 w 810205"/>
                <a:gd name="connsiteY18" fmla="*/ 0 h 1013180"/>
                <a:gd name="connsiteX19" fmla="*/ 348158 w 810205"/>
                <a:gd name="connsiteY19" fmla="*/ 0 h 1013180"/>
                <a:gd name="connsiteX20" fmla="*/ 348158 w 810205"/>
                <a:gd name="connsiteY20" fmla="*/ 1 h 1013180"/>
                <a:gd name="connsiteX21" fmla="*/ 174960 w 810205"/>
                <a:gd name="connsiteY21" fmla="*/ 1 h 1013180"/>
                <a:gd name="connsiteX22" fmla="*/ 121340 w 810205"/>
                <a:gd name="connsiteY22" fmla="*/ 35543 h 1013180"/>
                <a:gd name="connsiteX23" fmla="*/ 12389 w 810205"/>
                <a:gd name="connsiteY23" fmla="*/ 397314 h 1013180"/>
                <a:gd name="connsiteX24" fmla="*/ 3097 w 810205"/>
                <a:gd name="connsiteY24" fmla="*/ 493302 h 1013180"/>
                <a:gd name="connsiteX25" fmla="*/ 5385 w 810205"/>
                <a:gd name="connsiteY25" fmla="*/ 499826 h 1013180"/>
                <a:gd name="connsiteX26" fmla="*/ 4762 w 810205"/>
                <a:gd name="connsiteY26" fmla="*/ 500028 h 1013180"/>
                <a:gd name="connsiteX27" fmla="*/ 149024 w 810205"/>
                <a:gd name="connsiteY27" fmla="*/ 950004 h 1013180"/>
                <a:gd name="connsiteX28" fmla="*/ 244335 w 810205"/>
                <a:gd name="connsiteY28" fmla="*/ 1013180 h 1013180"/>
                <a:gd name="connsiteX29" fmla="*/ 462047 w 810205"/>
                <a:gd name="connsiteY29" fmla="*/ 1013180 h 1013180"/>
                <a:gd name="connsiteX30" fmla="*/ 462047 w 810205"/>
                <a:gd name="connsiteY30" fmla="*/ 1013179 h 1013180"/>
                <a:gd name="connsiteX31" fmla="*/ 565870 w 810205"/>
                <a:gd name="connsiteY31" fmla="*/ 1013179 h 1013180"/>
                <a:gd name="connsiteX32" fmla="*/ 661181 w 810205"/>
                <a:gd name="connsiteY32" fmla="*/ 950003 h 1013180"/>
                <a:gd name="connsiteX33" fmla="*/ 805443 w 810205"/>
                <a:gd name="connsiteY33" fmla="*/ 500027 h 1013180"/>
                <a:gd name="connsiteX34" fmla="*/ 804820 w 810205"/>
                <a:gd name="connsiteY34" fmla="*/ 499825 h 1013180"/>
                <a:gd name="connsiteX35" fmla="*/ 807108 w 810205"/>
                <a:gd name="connsiteY35" fmla="*/ 493301 h 1013180"/>
                <a:gd name="connsiteX36" fmla="*/ 797816 w 810205"/>
                <a:gd name="connsiteY36" fmla="*/ 397313 h 1013180"/>
                <a:gd name="connsiteX37" fmla="*/ 688865 w 810205"/>
                <a:gd name="connsiteY37" fmla="*/ 35542 h 1013180"/>
                <a:gd name="connsiteX38" fmla="*/ 635245 w 810205"/>
                <a:gd name="connsiteY38" fmla="*/ 0 h 10131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810205" h="1013180">
                  <a:moveTo>
                    <a:pt x="171535" y="207172"/>
                  </a:moveTo>
                  <a:lnTo>
                    <a:pt x="700173" y="514353"/>
                  </a:lnTo>
                  <a:lnTo>
                    <a:pt x="645404" y="689945"/>
                  </a:lnTo>
                  <a:lnTo>
                    <a:pt x="550243" y="635750"/>
                  </a:lnTo>
                  <a:lnTo>
                    <a:pt x="541515" y="678979"/>
                  </a:lnTo>
                  <a:cubicBezTo>
                    <a:pt x="526793" y="713785"/>
                    <a:pt x="498910" y="741668"/>
                    <a:pt x="464104" y="756390"/>
                  </a:cubicBezTo>
                  <a:lnTo>
                    <a:pt x="446248" y="759995"/>
                  </a:lnTo>
                  <a:lnTo>
                    <a:pt x="550154" y="819644"/>
                  </a:lnTo>
                  <a:lnTo>
                    <a:pt x="210334" y="819644"/>
                  </a:lnTo>
                  <a:lnTo>
                    <a:pt x="139500" y="583902"/>
                  </a:lnTo>
                  <a:lnTo>
                    <a:pt x="269302" y="658417"/>
                  </a:lnTo>
                  <a:lnTo>
                    <a:pt x="262022" y="622359"/>
                  </a:lnTo>
                  <a:cubicBezTo>
                    <a:pt x="262022" y="582191"/>
                    <a:pt x="278304" y="545826"/>
                    <a:pt x="304627" y="519502"/>
                  </a:cubicBezTo>
                  <a:lnTo>
                    <a:pt x="323628" y="506692"/>
                  </a:lnTo>
                  <a:lnTo>
                    <a:pt x="114385" y="387527"/>
                  </a:lnTo>
                  <a:close/>
                  <a:moveTo>
                    <a:pt x="596002" y="85728"/>
                  </a:moveTo>
                  <a:lnTo>
                    <a:pt x="666836" y="321470"/>
                  </a:lnTo>
                  <a:lnTo>
                    <a:pt x="256182" y="85728"/>
                  </a:lnTo>
                  <a:close/>
                  <a:moveTo>
                    <a:pt x="635245" y="0"/>
                  </a:moveTo>
                  <a:lnTo>
                    <a:pt x="348158" y="0"/>
                  </a:lnTo>
                  <a:lnTo>
                    <a:pt x="348158" y="1"/>
                  </a:lnTo>
                  <a:lnTo>
                    <a:pt x="174960" y="1"/>
                  </a:lnTo>
                  <a:cubicBezTo>
                    <a:pt x="150855" y="1"/>
                    <a:pt x="130174" y="14656"/>
                    <a:pt x="121340" y="35543"/>
                  </a:cubicBezTo>
                  <a:lnTo>
                    <a:pt x="12389" y="397314"/>
                  </a:lnTo>
                  <a:cubicBezTo>
                    <a:pt x="-1" y="427867"/>
                    <a:pt x="-3098" y="461306"/>
                    <a:pt x="3097" y="493302"/>
                  </a:cubicBezTo>
                  <a:lnTo>
                    <a:pt x="5385" y="499826"/>
                  </a:lnTo>
                  <a:lnTo>
                    <a:pt x="4762" y="500028"/>
                  </a:lnTo>
                  <a:lnTo>
                    <a:pt x="149024" y="950004"/>
                  </a:lnTo>
                  <a:cubicBezTo>
                    <a:pt x="164727" y="987130"/>
                    <a:pt x="201489" y="1013180"/>
                    <a:pt x="244335" y="1013180"/>
                  </a:cubicBezTo>
                  <a:lnTo>
                    <a:pt x="462047" y="1013180"/>
                  </a:lnTo>
                  <a:lnTo>
                    <a:pt x="462047" y="1013179"/>
                  </a:lnTo>
                  <a:lnTo>
                    <a:pt x="565870" y="1013179"/>
                  </a:lnTo>
                  <a:cubicBezTo>
                    <a:pt x="608716" y="1013179"/>
                    <a:pt x="645478" y="987129"/>
                    <a:pt x="661181" y="950003"/>
                  </a:cubicBezTo>
                  <a:lnTo>
                    <a:pt x="805443" y="500027"/>
                  </a:lnTo>
                  <a:lnTo>
                    <a:pt x="804820" y="499825"/>
                  </a:lnTo>
                  <a:lnTo>
                    <a:pt x="807108" y="493301"/>
                  </a:lnTo>
                  <a:cubicBezTo>
                    <a:pt x="813303" y="461305"/>
                    <a:pt x="810206" y="427866"/>
                    <a:pt x="797816" y="397313"/>
                  </a:cubicBezTo>
                  <a:lnTo>
                    <a:pt x="688865" y="35542"/>
                  </a:lnTo>
                  <a:cubicBezTo>
                    <a:pt x="680031" y="14655"/>
                    <a:pt x="659350" y="0"/>
                    <a:pt x="635245"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3" name="Овал 122">
              <a:extLst>
                <a:ext uri="{FF2B5EF4-FFF2-40B4-BE49-F238E27FC236}">
                  <a16:creationId xmlns:a16="http://schemas.microsoft.com/office/drawing/2014/main" id="{AE8583FE-6667-4F5E-842D-129803EC6517}"/>
                </a:ext>
              </a:extLst>
            </xdr:cNvPr>
            <xdr:cNvSpPr/>
          </xdr:nvSpPr>
          <xdr:spPr bwMode="auto">
            <a:xfrm>
              <a:off x="5599683" y="1181149"/>
              <a:ext cx="187347" cy="187346"/>
            </a:xfrm>
            <a:prstGeom prst="ellipse">
              <a:avLst/>
            </a:pr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4" name="Полилиния 123">
              <a:extLst>
                <a:ext uri="{FF2B5EF4-FFF2-40B4-BE49-F238E27FC236}">
                  <a16:creationId xmlns:a16="http://schemas.microsoft.com/office/drawing/2014/main" id="{73A9AFCE-AA71-44EF-B3C4-2005EFF49D41}"/>
                </a:ext>
              </a:extLst>
            </xdr:cNvPr>
            <xdr:cNvSpPr/>
          </xdr:nvSpPr>
          <xdr:spPr bwMode="auto">
            <a:xfrm>
              <a:off x="5288256" y="203674"/>
              <a:ext cx="105273" cy="708448"/>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5" name="Полилиния 124">
              <a:extLst>
                <a:ext uri="{FF2B5EF4-FFF2-40B4-BE49-F238E27FC236}">
                  <a16:creationId xmlns:a16="http://schemas.microsoft.com/office/drawing/2014/main" id="{E4EB25EB-C1A7-4EBB-80B1-1103BD323B43}"/>
                </a:ext>
              </a:extLst>
            </xdr:cNvPr>
            <xdr:cNvSpPr/>
          </xdr:nvSpPr>
          <xdr:spPr bwMode="auto">
            <a:xfrm flipH="1">
              <a:off x="5995576" y="203674"/>
              <a:ext cx="105273" cy="708448"/>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6" name="Полилиния 125">
              <a:extLst>
                <a:ext uri="{FF2B5EF4-FFF2-40B4-BE49-F238E27FC236}">
                  <a16:creationId xmlns:a16="http://schemas.microsoft.com/office/drawing/2014/main" id="{4EAD2ADF-F31F-44BE-BC6B-B3124832F357}"/>
                </a:ext>
              </a:extLst>
            </xdr:cNvPr>
            <xdr:cNvSpPr/>
          </xdr:nvSpPr>
          <xdr:spPr bwMode="auto">
            <a:xfrm flipH="1">
              <a:off x="7717037" y="3228336"/>
              <a:ext cx="468051" cy="555753"/>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7" name="Скругленный прямоугольник 126">
              <a:extLst>
                <a:ext uri="{FF2B5EF4-FFF2-40B4-BE49-F238E27FC236}">
                  <a16:creationId xmlns:a16="http://schemas.microsoft.com/office/drawing/2014/main" id="{1D282796-BB85-431A-8C07-25E99C119F86}"/>
                </a:ext>
              </a:extLst>
            </xdr:cNvPr>
            <xdr:cNvSpPr/>
          </xdr:nvSpPr>
          <xdr:spPr bwMode="auto">
            <a:xfrm rot="1632461">
              <a:off x="5463818" y="2799425"/>
              <a:ext cx="2691976" cy="146470"/>
            </a:xfrm>
            <a:prstGeom prst="roundRect">
              <a:avLst>
                <a:gd name="adj" fmla="val 50000"/>
              </a:avLst>
            </a:pr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28" name="Полилиния 127">
              <a:extLst>
                <a:ext uri="{FF2B5EF4-FFF2-40B4-BE49-F238E27FC236}">
                  <a16:creationId xmlns:a16="http://schemas.microsoft.com/office/drawing/2014/main" id="{04BFF621-468B-424E-A27A-E8C498900F34}"/>
                </a:ext>
              </a:extLst>
            </xdr:cNvPr>
            <xdr:cNvSpPr/>
          </xdr:nvSpPr>
          <xdr:spPr bwMode="auto">
            <a:xfrm rot="19967539" flipH="1">
              <a:off x="3254927" y="2881153"/>
              <a:ext cx="2334447" cy="146470"/>
            </a:xfrm>
            <a:custGeom>
              <a:avLst/>
              <a:gdLst>
                <a:gd name="connsiteX0" fmla="*/ 31382 w 2334449"/>
                <a:gd name="connsiteY0" fmla="*/ 0 h 146470"/>
                <a:gd name="connsiteX1" fmla="*/ 40778 w 2334449"/>
                <a:gd name="connsiteY1" fmla="*/ 40581 h 146470"/>
                <a:gd name="connsiteX2" fmla="*/ 24740 w 2334449"/>
                <a:gd name="connsiteY2" fmla="*/ 110427 h 146470"/>
                <a:gd name="connsiteX3" fmla="*/ 0 w 2334449"/>
                <a:gd name="connsiteY3" fmla="*/ 146470 h 146470"/>
                <a:gd name="connsiteX4" fmla="*/ 2261214 w 2334449"/>
                <a:gd name="connsiteY4" fmla="*/ 146470 h 146470"/>
                <a:gd name="connsiteX5" fmla="*/ 2334449 w 2334449"/>
                <a:gd name="connsiteY5" fmla="*/ 73235 h 146470"/>
                <a:gd name="connsiteX6" fmla="*/ 2261214 w 2334449"/>
                <a:gd name="connsiteY6" fmla="*/ 0 h 146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334449" h="146470">
                  <a:moveTo>
                    <a:pt x="31382" y="0"/>
                  </a:moveTo>
                  <a:lnTo>
                    <a:pt x="40778" y="40581"/>
                  </a:lnTo>
                  <a:cubicBezTo>
                    <a:pt x="40505" y="63907"/>
                    <a:pt x="34956" y="87639"/>
                    <a:pt x="24740" y="110427"/>
                  </a:cubicBezTo>
                  <a:lnTo>
                    <a:pt x="0" y="146470"/>
                  </a:lnTo>
                  <a:lnTo>
                    <a:pt x="2261214" y="146470"/>
                  </a:lnTo>
                  <a:cubicBezTo>
                    <a:pt x="2301661" y="146470"/>
                    <a:pt x="2334449" y="113682"/>
                    <a:pt x="2334449" y="73235"/>
                  </a:cubicBezTo>
                  <a:cubicBezTo>
                    <a:pt x="2334449" y="32788"/>
                    <a:pt x="2301661" y="0"/>
                    <a:pt x="2261214"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grpSp>
      <xdr:cxnSp macro="">
        <xdr:nvCxnSpPr>
          <xdr:cNvPr id="117" name="Соединитель: уступ 9">
            <a:extLst>
              <a:ext uri="{FF2B5EF4-FFF2-40B4-BE49-F238E27FC236}">
                <a16:creationId xmlns:a16="http://schemas.microsoft.com/office/drawing/2014/main" id="{133C3534-3C12-42FE-B047-CADC3B1A9256}"/>
              </a:ext>
            </a:extLst>
          </xdr:cNvPr>
          <xdr:cNvCxnSpPr>
            <a:cxnSpLocks/>
            <a:endCxn id="114" idx="3"/>
          </xdr:cNvCxnSpPr>
        </xdr:nvCxnSpPr>
        <xdr:spPr>
          <a:xfrm rot="16200000" flipV="1">
            <a:off x="8725955" y="1439681"/>
            <a:ext cx="415648" cy="397891"/>
          </a:xfrm>
          <a:prstGeom prst="bentConnector2">
            <a:avLst/>
          </a:prstGeom>
          <a:ln>
            <a:solidFill>
              <a:schemeClr val="bg1">
                <a:lumMod val="75000"/>
              </a:schemeClr>
            </a:solidFill>
            <a:headEnd type="none"/>
            <a:tailEnd type="oval"/>
          </a:ln>
        </xdr:spPr>
        <xdr:style>
          <a:lnRef idx="1">
            <a:schemeClr val="accent1"/>
          </a:lnRef>
          <a:fillRef idx="0">
            <a:schemeClr val="accent1"/>
          </a:fillRef>
          <a:effectRef idx="0">
            <a:schemeClr val="accent1"/>
          </a:effectRef>
          <a:fontRef idx="minor">
            <a:schemeClr val="tx1"/>
          </a:fontRef>
        </xdr:style>
      </xdr:cxnSp>
      <xdr:cxnSp macro="">
        <xdr:nvCxnSpPr>
          <xdr:cNvPr id="118" name="Прямая соединительная линия 117">
            <a:extLst>
              <a:ext uri="{FF2B5EF4-FFF2-40B4-BE49-F238E27FC236}">
                <a16:creationId xmlns:a16="http://schemas.microsoft.com/office/drawing/2014/main" id="{1F41FC65-1E34-4E0E-BCB3-BC1D117EDA90}"/>
              </a:ext>
            </a:extLst>
          </xdr:cNvPr>
          <xdr:cNvCxnSpPr>
            <a:cxnSpLocks/>
          </xdr:cNvCxnSpPr>
        </xdr:nvCxnSpPr>
        <xdr:spPr>
          <a:xfrm>
            <a:off x="8734833" y="1129333"/>
            <a:ext cx="0" cy="60294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287555</xdr:colOff>
      <xdr:row>15</xdr:row>
      <xdr:rowOff>88841</xdr:rowOff>
    </xdr:from>
    <xdr:to>
      <xdr:col>17</xdr:col>
      <xdr:colOff>193347</xdr:colOff>
      <xdr:row>24</xdr:row>
      <xdr:rowOff>91111</xdr:rowOff>
    </xdr:to>
    <xdr:grpSp>
      <xdr:nvGrpSpPr>
        <xdr:cNvPr id="30" name="Группа 29">
          <a:extLst>
            <a:ext uri="{FF2B5EF4-FFF2-40B4-BE49-F238E27FC236}">
              <a16:creationId xmlns:a16="http://schemas.microsoft.com/office/drawing/2014/main" id="{788E16D0-7728-4EAC-9678-D1E23F674A52}"/>
            </a:ext>
          </a:extLst>
        </xdr:cNvPr>
        <xdr:cNvGrpSpPr/>
      </xdr:nvGrpSpPr>
      <xdr:grpSpPr>
        <a:xfrm>
          <a:off x="2708026" y="3271312"/>
          <a:ext cx="7772321" cy="1716770"/>
          <a:chOff x="2767910" y="2040837"/>
          <a:chExt cx="7830592" cy="1648190"/>
        </a:xfrm>
      </xdr:grpSpPr>
      <xdr:sp macro="" textlink="">
        <xdr:nvSpPr>
          <xdr:cNvPr id="95" name="Параллелограмм 94">
            <a:extLst>
              <a:ext uri="{FF2B5EF4-FFF2-40B4-BE49-F238E27FC236}">
                <a16:creationId xmlns:a16="http://schemas.microsoft.com/office/drawing/2014/main" id="{411E6D5D-5D9E-4969-9162-C6702B5BBBF8}"/>
              </a:ext>
            </a:extLst>
          </xdr:cNvPr>
          <xdr:cNvSpPr/>
        </xdr:nvSpPr>
        <xdr:spPr bwMode="auto">
          <a:xfrm flipH="1">
            <a:off x="7672222" y="3298502"/>
            <a:ext cx="417513" cy="390525"/>
          </a:xfrm>
          <a:prstGeom prst="parallelogram">
            <a:avLst/>
          </a:prstGeom>
          <a:solidFill>
            <a:srgbClr val="2484B9"/>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96" name="Прямоугольник: скругленные углы 23">
            <a:extLst>
              <a:ext uri="{FF2B5EF4-FFF2-40B4-BE49-F238E27FC236}">
                <a16:creationId xmlns:a16="http://schemas.microsoft.com/office/drawing/2014/main" id="{20E4E6AB-9A5F-4B3C-AB9D-88E29F224376}"/>
              </a:ext>
            </a:extLst>
          </xdr:cNvPr>
          <xdr:cNvSpPr/>
        </xdr:nvSpPr>
        <xdr:spPr bwMode="auto">
          <a:xfrm>
            <a:off x="7672222" y="2663819"/>
            <a:ext cx="2263775" cy="731520"/>
          </a:xfrm>
          <a:prstGeom prst="roundRect">
            <a:avLst/>
          </a:prstGeom>
          <a:solidFill>
            <a:srgbClr val="3CD5E3"/>
          </a:solidFill>
          <a:ln w="19050">
            <a:solidFill>
              <a:schemeClr val="bg1"/>
            </a:solid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Написать </a:t>
            </a:r>
            <a:r>
              <a:rPr lang="en-US"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K8S </a:t>
            </a: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манифесты</a:t>
            </a:r>
            <a:endParaRPr lang="en-US" sz="1400" b="1" cap="all">
              <a:solidFill>
                <a:schemeClr val="bg1"/>
              </a:solidFill>
              <a:latin typeface="Segoe UI" panose="020B0502040204020203" pitchFamily="34" charset="0"/>
              <a:ea typeface="Segoe UI" panose="020B0502040204020203" pitchFamily="34" charset="0"/>
              <a:cs typeface="Segoe UI" panose="020B0502040204020203" pitchFamily="34" charset="0"/>
            </a:endParaRPr>
          </a:p>
        </xdr:txBody>
      </xdr:sp>
      <xdr:sp macro="" textlink="">
        <xdr:nvSpPr>
          <xdr:cNvPr id="97" name="Прямоугольник 96">
            <a:extLst>
              <a:ext uri="{FF2B5EF4-FFF2-40B4-BE49-F238E27FC236}">
                <a16:creationId xmlns:a16="http://schemas.microsoft.com/office/drawing/2014/main" id="{CB72058D-497A-4BCC-8355-2F1DE14B0B4B}"/>
              </a:ext>
            </a:extLst>
          </xdr:cNvPr>
          <xdr:cNvSpPr/>
        </xdr:nvSpPr>
        <xdr:spPr bwMode="auto">
          <a:xfrm>
            <a:off x="2767910" y="2040837"/>
            <a:ext cx="4509453" cy="602940"/>
          </a:xfrm>
          <a:prstGeom prst="rect">
            <a:avLst/>
          </a:prstGeom>
          <a:noFill/>
          <a:ln>
            <a:noFill/>
          </a:ln>
        </xdr:spPr>
        <xdr:txBody>
          <a:bodyPr wrap="square" lIns="0" tIns="0" rIns="9144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latin typeface="Segoe UI"/>
              </a:rPr>
              <a:t>Подготовка необходимых манифестов (</a:t>
            </a:r>
            <a:r>
              <a:rPr kumimoji="0" lang="en-US" sz="1200" b="0" i="0" u="none" strike="noStrike" kern="0" cap="none" spc="0" normalizeH="0" baseline="0">
                <a:ln>
                  <a:noFill/>
                </a:ln>
                <a:solidFill>
                  <a:srgbClr val="001031"/>
                </a:solidFill>
                <a:effectLst/>
                <a:uLnTx/>
                <a:uFillTx/>
                <a:latin typeface="Segoe UI"/>
              </a:rPr>
              <a:t>deployments, services, secrets, service accounts </a:t>
            </a:r>
            <a:r>
              <a:rPr kumimoji="0" lang="ru-RU" sz="1200" b="0" i="0" u="none" strike="noStrike" kern="0" cap="none" spc="0" normalizeH="0" baseline="0">
                <a:ln>
                  <a:noFill/>
                </a:ln>
                <a:solidFill>
                  <a:srgbClr val="001031"/>
                </a:solidFill>
                <a:effectLst/>
                <a:uLnTx/>
                <a:uFillTx/>
                <a:latin typeface="Segoe UI"/>
              </a:rPr>
              <a:t>и т.д.) для запуска приложения</a:t>
            </a:r>
            <a:endParaRPr kumimoji="0" lang="en-US" sz="1200" b="0" i="0" u="none" strike="noStrike" kern="0" cap="none" spc="0" normalizeH="0" baseline="0">
              <a:ln>
                <a:noFill/>
              </a:ln>
              <a:solidFill>
                <a:srgbClr val="001031"/>
              </a:solidFill>
              <a:effectLst/>
              <a:uLnTx/>
              <a:uFillTx/>
              <a:latin typeface="Segoe UI"/>
            </a:endParaRPr>
          </a:p>
        </xdr:txBody>
      </xdr:sp>
      <xdr:sp macro="" textlink="">
        <xdr:nvSpPr>
          <xdr:cNvPr id="98" name="TextBox 25">
            <a:extLst>
              <a:ext uri="{FF2B5EF4-FFF2-40B4-BE49-F238E27FC236}">
                <a16:creationId xmlns:a16="http://schemas.microsoft.com/office/drawing/2014/main" id="{4D937C32-0DC7-4FC0-A575-161FF0A17ED3}"/>
              </a:ext>
            </a:extLst>
          </xdr:cNvPr>
          <xdr:cNvSpPr txBox="1"/>
        </xdr:nvSpPr>
        <xdr:spPr>
          <a:xfrm>
            <a:off x="7782293" y="2426863"/>
            <a:ext cx="1055412" cy="236956"/>
          </a:xfrm>
          <a:prstGeom prst="rect">
            <a:avLst/>
          </a:prstGeom>
          <a:no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b="1">
                <a:solidFill>
                  <a:srgbClr val="3CD5E3"/>
                </a:solidFill>
                <a:latin typeface="Segoe UI" panose="020B0502040204020203" pitchFamily="34" charset="0"/>
                <a:ea typeface="Segoe UI" panose="020B0502040204020203" pitchFamily="34" charset="0"/>
                <a:cs typeface="Segoe UI" panose="020B0502040204020203" pitchFamily="34" charset="0"/>
              </a:rPr>
              <a:t>Шаг </a:t>
            </a:r>
            <a:r>
              <a:rPr lang="en-US" sz="1400" b="1">
                <a:solidFill>
                  <a:srgbClr val="3CD5E3"/>
                </a:solidFill>
                <a:latin typeface="Segoe UI" panose="020B0502040204020203" pitchFamily="34" charset="0"/>
                <a:ea typeface="Segoe UI" panose="020B0502040204020203" pitchFamily="34" charset="0"/>
                <a:cs typeface="Segoe UI" panose="020B0502040204020203" pitchFamily="34" charset="0"/>
              </a:rPr>
              <a:t>#</a:t>
            </a:r>
            <a:r>
              <a:rPr lang="ru-RU" sz="1400" b="1">
                <a:solidFill>
                  <a:srgbClr val="3CD5E3"/>
                </a:solidFill>
                <a:latin typeface="Segoe UI" panose="020B0502040204020203" pitchFamily="34" charset="0"/>
                <a:ea typeface="Segoe UI" panose="020B0502040204020203" pitchFamily="34" charset="0"/>
                <a:cs typeface="Segoe UI" panose="020B0502040204020203" pitchFamily="34" charset="0"/>
              </a:rPr>
              <a:t>4</a:t>
            </a:r>
            <a:endParaRPr lang="en-US" sz="1400" b="1">
              <a:solidFill>
                <a:srgbClr val="3CD5E3"/>
              </a:solidFill>
              <a:latin typeface="Segoe UI" panose="020B0502040204020203" pitchFamily="34" charset="0"/>
              <a:ea typeface="Segoe UI" panose="020B0502040204020203" pitchFamily="34" charset="0"/>
              <a:cs typeface="Segoe UI" panose="020B0502040204020203" pitchFamily="34" charset="0"/>
            </a:endParaRPr>
          </a:p>
        </xdr:txBody>
      </xdr:sp>
      <xdr:grpSp>
        <xdr:nvGrpSpPr>
          <xdr:cNvPr id="99" name="Группа 98">
            <a:extLst>
              <a:ext uri="{FF2B5EF4-FFF2-40B4-BE49-F238E27FC236}">
                <a16:creationId xmlns:a16="http://schemas.microsoft.com/office/drawing/2014/main" id="{5BD3F178-DBFA-4488-9694-9D008AA08FC1}"/>
              </a:ext>
            </a:extLst>
          </xdr:cNvPr>
          <xdr:cNvGrpSpPr>
            <a:grpSpLocks noChangeAspect="1"/>
          </xdr:cNvGrpSpPr>
        </xdr:nvGrpSpPr>
        <xdr:grpSpPr>
          <a:xfrm>
            <a:off x="10054531" y="2745888"/>
            <a:ext cx="543971" cy="567382"/>
            <a:chOff x="6044217" y="3060700"/>
            <a:chExt cx="1585308" cy="1653540"/>
          </a:xfrm>
        </xdr:grpSpPr>
        <xdr:sp macro="" textlink="">
          <xdr:nvSpPr>
            <xdr:cNvPr id="102" name="Скругленный прямоугольник 101">
              <a:extLst>
                <a:ext uri="{FF2B5EF4-FFF2-40B4-BE49-F238E27FC236}">
                  <a16:creationId xmlns:a16="http://schemas.microsoft.com/office/drawing/2014/main" id="{D755773C-AF7B-49BE-8016-ADFACD6BBE2C}"/>
                </a:ext>
              </a:extLst>
            </xdr:cNvPr>
            <xdr:cNvSpPr/>
          </xdr:nvSpPr>
          <xdr:spPr>
            <a:xfrm>
              <a:off x="6044217" y="3060700"/>
              <a:ext cx="1358398" cy="1653540"/>
            </a:xfrm>
            <a:prstGeom prst="roundRect">
              <a:avLst>
                <a:gd name="adj" fmla="val 548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3" name="Овал 102">
              <a:extLst>
                <a:ext uri="{FF2B5EF4-FFF2-40B4-BE49-F238E27FC236}">
                  <a16:creationId xmlns:a16="http://schemas.microsoft.com/office/drawing/2014/main" id="{D5953E45-E15D-4BF3-9B5B-53F3667E518B}"/>
                </a:ext>
              </a:extLst>
            </xdr:cNvPr>
            <xdr:cNvSpPr/>
          </xdr:nvSpPr>
          <xdr:spPr>
            <a:xfrm>
              <a:off x="7057771" y="4043594"/>
              <a:ext cx="571754" cy="57175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4" name="Скругленный прямоугольник 103">
              <a:extLst>
                <a:ext uri="{FF2B5EF4-FFF2-40B4-BE49-F238E27FC236}">
                  <a16:creationId xmlns:a16="http://schemas.microsoft.com/office/drawing/2014/main" id="{4AE7C3FF-D995-43BD-92AE-FDABF3953B06}"/>
                </a:ext>
              </a:extLst>
            </xdr:cNvPr>
            <xdr:cNvSpPr/>
          </xdr:nvSpPr>
          <xdr:spPr>
            <a:xfrm>
              <a:off x="6162151" y="3178016"/>
              <a:ext cx="1122531" cy="1418908"/>
            </a:xfrm>
            <a:prstGeom prst="roundRect">
              <a:avLst>
                <a:gd name="adj" fmla="val 119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105" name="Группа 104">
              <a:extLst>
                <a:ext uri="{FF2B5EF4-FFF2-40B4-BE49-F238E27FC236}">
                  <a16:creationId xmlns:a16="http://schemas.microsoft.com/office/drawing/2014/main" id="{31AA217D-A47F-407E-8AA2-DEB7A29FB30C}"/>
                </a:ext>
              </a:extLst>
            </xdr:cNvPr>
            <xdr:cNvGrpSpPr/>
          </xdr:nvGrpSpPr>
          <xdr:grpSpPr>
            <a:xfrm>
              <a:off x="6277113" y="3370508"/>
              <a:ext cx="892606" cy="720105"/>
              <a:chOff x="1802607" y="1871663"/>
              <a:chExt cx="1835944" cy="1481135"/>
            </a:xfrm>
            <a:solidFill>
              <a:srgbClr val="00B0F0"/>
            </a:solidFill>
          </xdr:grpSpPr>
          <xdr:sp macro="" textlink="">
            <xdr:nvSpPr>
              <xdr:cNvPr id="107" name="Скругленный прямоугольник 106">
                <a:extLst>
                  <a:ext uri="{FF2B5EF4-FFF2-40B4-BE49-F238E27FC236}">
                    <a16:creationId xmlns:a16="http://schemas.microsoft.com/office/drawing/2014/main" id="{7C7214C4-E8AD-4638-B830-7EFAB06DD78B}"/>
                  </a:ext>
                </a:extLst>
              </xdr:cNvPr>
              <xdr:cNvSpPr/>
            </xdr:nvSpPr>
            <xdr:spPr>
              <a:xfrm>
                <a:off x="1802607" y="1871663"/>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8" name="Скругленный прямоугольник 107">
                <a:extLst>
                  <a:ext uri="{FF2B5EF4-FFF2-40B4-BE49-F238E27FC236}">
                    <a16:creationId xmlns:a16="http://schemas.microsoft.com/office/drawing/2014/main" id="{38BA1ED1-CF5F-4B53-8F46-65B1D164A327}"/>
                  </a:ext>
                </a:extLst>
              </xdr:cNvPr>
              <xdr:cNvSpPr/>
            </xdr:nvSpPr>
            <xdr:spPr>
              <a:xfrm>
                <a:off x="1802607" y="2209800"/>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9" name="Скругленный прямоугольник 108">
                <a:extLst>
                  <a:ext uri="{FF2B5EF4-FFF2-40B4-BE49-F238E27FC236}">
                    <a16:creationId xmlns:a16="http://schemas.microsoft.com/office/drawing/2014/main" id="{A597F18C-355B-4894-AA58-11EC46499406}"/>
                  </a:ext>
                </a:extLst>
              </xdr:cNvPr>
              <xdr:cNvSpPr/>
            </xdr:nvSpPr>
            <xdr:spPr>
              <a:xfrm>
                <a:off x="1802607" y="2547937"/>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0" name="Скругленный прямоугольник 109">
                <a:extLst>
                  <a:ext uri="{FF2B5EF4-FFF2-40B4-BE49-F238E27FC236}">
                    <a16:creationId xmlns:a16="http://schemas.microsoft.com/office/drawing/2014/main" id="{BB6A60D9-7416-48B3-8334-DF2C8AF9CB39}"/>
                  </a:ext>
                </a:extLst>
              </xdr:cNvPr>
              <xdr:cNvSpPr/>
            </xdr:nvSpPr>
            <xdr:spPr>
              <a:xfrm>
                <a:off x="1802607" y="2886074"/>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1" name="Скругленный прямоугольник 110">
                <a:extLst>
                  <a:ext uri="{FF2B5EF4-FFF2-40B4-BE49-F238E27FC236}">
                    <a16:creationId xmlns:a16="http://schemas.microsoft.com/office/drawing/2014/main" id="{D6B51916-B055-47A2-8400-264974008CB8}"/>
                  </a:ext>
                </a:extLst>
              </xdr:cNvPr>
              <xdr:cNvSpPr/>
            </xdr:nvSpPr>
            <xdr:spPr>
              <a:xfrm>
                <a:off x="1802607" y="3224211"/>
                <a:ext cx="821531"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106" name="Freeform 67">
              <a:extLst>
                <a:ext uri="{FF2B5EF4-FFF2-40B4-BE49-F238E27FC236}">
                  <a16:creationId xmlns:a16="http://schemas.microsoft.com/office/drawing/2014/main" id="{FADBE1A7-57DD-41FA-B754-065AA0FDAD0D}"/>
                </a:ext>
              </a:extLst>
            </xdr:cNvPr>
            <xdr:cNvSpPr/>
          </xdr:nvSpPr>
          <xdr:spPr>
            <a:xfrm rot="16200000" flipV="1">
              <a:off x="7093170" y="4077066"/>
              <a:ext cx="500956" cy="504812"/>
            </a:xfrm>
            <a:custGeom>
              <a:avLst/>
              <a:gdLst>
                <a:gd name="connsiteX0" fmla="*/ 905949 w 1321161"/>
                <a:gd name="connsiteY0" fmla="*/ 920334 h 1331323"/>
                <a:gd name="connsiteX1" fmla="*/ 389024 w 1321161"/>
                <a:gd name="connsiteY1" fmla="*/ 920334 h 1331323"/>
                <a:gd name="connsiteX2" fmla="*/ 389024 w 1321161"/>
                <a:gd name="connsiteY2" fmla="*/ 403409 h 1331323"/>
                <a:gd name="connsiteX3" fmla="*/ 905949 w 1321161"/>
                <a:gd name="connsiteY3" fmla="*/ 403409 h 1331323"/>
                <a:gd name="connsiteX4" fmla="*/ 905949 w 1321161"/>
                <a:gd name="connsiteY4" fmla="*/ 920334 h 1331323"/>
                <a:gd name="connsiteX5" fmla="*/ 1054093 w 1321161"/>
                <a:gd name="connsiteY5" fmla="*/ 1203699 h 1331323"/>
                <a:gd name="connsiteX6" fmla="*/ 1189314 w 1321161"/>
                <a:gd name="connsiteY6" fmla="*/ 1068478 h 1331323"/>
                <a:gd name="connsiteX7" fmla="*/ 1118748 w 1321161"/>
                <a:gd name="connsiteY7" fmla="*/ 926512 h 1331323"/>
                <a:gd name="connsiteX8" fmla="*/ 1150527 w 1321161"/>
                <a:gd name="connsiteY8" fmla="*/ 866122 h 1331323"/>
                <a:gd name="connsiteX9" fmla="*/ 1165601 w 1321161"/>
                <a:gd name="connsiteY9" fmla="*/ 819426 h 1331323"/>
                <a:gd name="connsiteX10" fmla="*/ 1321161 w 1321161"/>
                <a:gd name="connsiteY10" fmla="*/ 767166 h 1331323"/>
                <a:gd name="connsiteX11" fmla="*/ 1321161 w 1321161"/>
                <a:gd name="connsiteY11" fmla="*/ 575934 h 1331323"/>
                <a:gd name="connsiteX12" fmla="*/ 1171551 w 1321161"/>
                <a:gd name="connsiteY12" fmla="*/ 525672 h 1331323"/>
                <a:gd name="connsiteX13" fmla="*/ 1159842 w 1321161"/>
                <a:gd name="connsiteY13" fmla="*/ 482308 h 1331323"/>
                <a:gd name="connsiteX14" fmla="*/ 1123160 w 1321161"/>
                <a:gd name="connsiteY14" fmla="*/ 405865 h 1331323"/>
                <a:gd name="connsiteX15" fmla="*/ 1193555 w 1321161"/>
                <a:gd name="connsiteY15" fmla="*/ 264243 h 1331323"/>
                <a:gd name="connsiteX16" fmla="*/ 1058333 w 1321161"/>
                <a:gd name="connsiteY16" fmla="*/ 129022 h 1331323"/>
                <a:gd name="connsiteX17" fmla="*/ 922960 w 1321161"/>
                <a:gd name="connsiteY17" fmla="*/ 196311 h 1331323"/>
                <a:gd name="connsiteX18" fmla="*/ 851737 w 1321161"/>
                <a:gd name="connsiteY18" fmla="*/ 158831 h 1331323"/>
                <a:gd name="connsiteX19" fmla="*/ 803995 w 1321161"/>
                <a:gd name="connsiteY19" fmla="*/ 144682 h 1331323"/>
                <a:gd name="connsiteX20" fmla="*/ 755389 w 1321161"/>
                <a:gd name="connsiteY20" fmla="*/ 0 h 1331323"/>
                <a:gd name="connsiteX21" fmla="*/ 564157 w 1321161"/>
                <a:gd name="connsiteY21" fmla="*/ 0 h 1331323"/>
                <a:gd name="connsiteX22" fmla="*/ 518268 w 1321161"/>
                <a:gd name="connsiteY22" fmla="*/ 136594 h 1331323"/>
                <a:gd name="connsiteX23" fmla="*/ 443236 w 1321161"/>
                <a:gd name="connsiteY23" fmla="*/ 158831 h 1331323"/>
                <a:gd name="connsiteX24" fmla="*/ 381738 w 1321161"/>
                <a:gd name="connsiteY24" fmla="*/ 191193 h 1331323"/>
                <a:gd name="connsiteX25" fmla="*/ 243134 w 1321161"/>
                <a:gd name="connsiteY25" fmla="*/ 122297 h 1331323"/>
                <a:gd name="connsiteX26" fmla="*/ 107912 w 1321161"/>
                <a:gd name="connsiteY26" fmla="*/ 257519 h 1331323"/>
                <a:gd name="connsiteX27" fmla="*/ 176068 w 1321161"/>
                <a:gd name="connsiteY27" fmla="*/ 394636 h 1331323"/>
                <a:gd name="connsiteX28" fmla="*/ 166802 w 1321161"/>
                <a:gd name="connsiteY28" fmla="*/ 409452 h 1331323"/>
                <a:gd name="connsiteX29" fmla="*/ 123487 w 1321161"/>
                <a:gd name="connsiteY29" fmla="*/ 519957 h 1331323"/>
                <a:gd name="connsiteX30" fmla="*/ 121640 w 1321161"/>
                <a:gd name="connsiteY30" fmla="*/ 531740 h 1331323"/>
                <a:gd name="connsiteX31" fmla="*/ 0 w 1321161"/>
                <a:gd name="connsiteY31" fmla="*/ 572605 h 1331323"/>
                <a:gd name="connsiteX32" fmla="*/ 0 w 1321161"/>
                <a:gd name="connsiteY32" fmla="*/ 763837 h 1331323"/>
                <a:gd name="connsiteX33" fmla="*/ 127613 w 1321161"/>
                <a:gd name="connsiteY33" fmla="*/ 806708 h 1331323"/>
                <a:gd name="connsiteX34" fmla="*/ 144446 w 1321161"/>
                <a:gd name="connsiteY34" fmla="*/ 866122 h 1331323"/>
                <a:gd name="connsiteX35" fmla="*/ 177849 w 1321161"/>
                <a:gd name="connsiteY35" fmla="*/ 929597 h 1331323"/>
                <a:gd name="connsiteX36" fmla="*/ 109341 w 1321161"/>
                <a:gd name="connsiteY36" fmla="*/ 1067422 h 1331323"/>
                <a:gd name="connsiteX37" fmla="*/ 244562 w 1321161"/>
                <a:gd name="connsiteY37" fmla="*/ 1202644 h 1331323"/>
                <a:gd name="connsiteX38" fmla="*/ 381950 w 1321161"/>
                <a:gd name="connsiteY38" fmla="*/ 1134353 h 1331323"/>
                <a:gd name="connsiteX39" fmla="*/ 395067 w 1321161"/>
                <a:gd name="connsiteY39" fmla="*/ 1142556 h 1331323"/>
                <a:gd name="connsiteX40" fmla="*/ 505572 w 1321161"/>
                <a:gd name="connsiteY40" fmla="*/ 1185871 h 1331323"/>
                <a:gd name="connsiteX41" fmla="*/ 508621 w 1321161"/>
                <a:gd name="connsiteY41" fmla="*/ 1186349 h 1331323"/>
                <a:gd name="connsiteX42" fmla="*/ 557325 w 1321161"/>
                <a:gd name="connsiteY42" fmla="*/ 1331323 h 1331323"/>
                <a:gd name="connsiteX43" fmla="*/ 748557 w 1321161"/>
                <a:gd name="connsiteY43" fmla="*/ 1331323 h 1331323"/>
                <a:gd name="connsiteX44" fmla="*/ 799490 w 1321161"/>
                <a:gd name="connsiteY44" fmla="*/ 1179714 h 1331323"/>
                <a:gd name="connsiteX45" fmla="*/ 851737 w 1321161"/>
                <a:gd name="connsiteY45" fmla="*/ 1164912 h 1331323"/>
                <a:gd name="connsiteX46" fmla="*/ 912127 w 1321161"/>
                <a:gd name="connsiteY46" fmla="*/ 1133133 h 1331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1321161" h="1331323">
                  <a:moveTo>
                    <a:pt x="905949" y="920334"/>
                  </a:moveTo>
                  <a:cubicBezTo>
                    <a:pt x="763204" y="1063079"/>
                    <a:pt x="531769" y="1063079"/>
                    <a:pt x="389024" y="920334"/>
                  </a:cubicBezTo>
                  <a:cubicBezTo>
                    <a:pt x="246279" y="777589"/>
                    <a:pt x="246279" y="546154"/>
                    <a:pt x="389024" y="403409"/>
                  </a:cubicBezTo>
                  <a:cubicBezTo>
                    <a:pt x="531769" y="260664"/>
                    <a:pt x="763204" y="260664"/>
                    <a:pt x="905949" y="403409"/>
                  </a:cubicBezTo>
                  <a:cubicBezTo>
                    <a:pt x="1048694" y="546154"/>
                    <a:pt x="1048694" y="777589"/>
                    <a:pt x="905949" y="920334"/>
                  </a:cubicBezTo>
                  <a:close/>
                  <a:moveTo>
                    <a:pt x="1054093" y="1203699"/>
                  </a:moveTo>
                  <a:lnTo>
                    <a:pt x="1189314" y="1068478"/>
                  </a:lnTo>
                  <a:lnTo>
                    <a:pt x="1118748" y="926512"/>
                  </a:lnTo>
                  <a:lnTo>
                    <a:pt x="1150527" y="866122"/>
                  </a:lnTo>
                  <a:lnTo>
                    <a:pt x="1165601" y="819426"/>
                  </a:lnTo>
                  <a:lnTo>
                    <a:pt x="1321161" y="767166"/>
                  </a:lnTo>
                  <a:lnTo>
                    <a:pt x="1321161" y="575934"/>
                  </a:lnTo>
                  <a:lnTo>
                    <a:pt x="1171551" y="525672"/>
                  </a:lnTo>
                  <a:lnTo>
                    <a:pt x="1159842" y="482308"/>
                  </a:lnTo>
                  <a:lnTo>
                    <a:pt x="1123160" y="405865"/>
                  </a:lnTo>
                  <a:lnTo>
                    <a:pt x="1193555" y="264243"/>
                  </a:lnTo>
                  <a:lnTo>
                    <a:pt x="1058333" y="129022"/>
                  </a:lnTo>
                  <a:lnTo>
                    <a:pt x="922960" y="196311"/>
                  </a:lnTo>
                  <a:lnTo>
                    <a:pt x="851737" y="158831"/>
                  </a:lnTo>
                  <a:lnTo>
                    <a:pt x="803995" y="144682"/>
                  </a:lnTo>
                  <a:lnTo>
                    <a:pt x="755389" y="0"/>
                  </a:lnTo>
                  <a:lnTo>
                    <a:pt x="564157" y="0"/>
                  </a:lnTo>
                  <a:lnTo>
                    <a:pt x="518268" y="136594"/>
                  </a:lnTo>
                  <a:lnTo>
                    <a:pt x="443236" y="158831"/>
                  </a:lnTo>
                  <a:lnTo>
                    <a:pt x="381738" y="191193"/>
                  </a:lnTo>
                  <a:lnTo>
                    <a:pt x="243134" y="122297"/>
                  </a:lnTo>
                  <a:lnTo>
                    <a:pt x="107912" y="257519"/>
                  </a:lnTo>
                  <a:lnTo>
                    <a:pt x="176068" y="394636"/>
                  </a:lnTo>
                  <a:lnTo>
                    <a:pt x="166802" y="409452"/>
                  </a:lnTo>
                  <a:cubicBezTo>
                    <a:pt x="148172" y="444903"/>
                    <a:pt x="133733" y="481983"/>
                    <a:pt x="123487" y="519957"/>
                  </a:cubicBezTo>
                  <a:lnTo>
                    <a:pt x="121640" y="531740"/>
                  </a:lnTo>
                  <a:lnTo>
                    <a:pt x="0" y="572605"/>
                  </a:lnTo>
                  <a:lnTo>
                    <a:pt x="0" y="763837"/>
                  </a:lnTo>
                  <a:lnTo>
                    <a:pt x="127613" y="806708"/>
                  </a:lnTo>
                  <a:lnTo>
                    <a:pt x="144446" y="866122"/>
                  </a:lnTo>
                  <a:lnTo>
                    <a:pt x="177849" y="929597"/>
                  </a:lnTo>
                  <a:lnTo>
                    <a:pt x="109341" y="1067422"/>
                  </a:lnTo>
                  <a:lnTo>
                    <a:pt x="244562" y="1202644"/>
                  </a:lnTo>
                  <a:lnTo>
                    <a:pt x="381950" y="1134353"/>
                  </a:lnTo>
                  <a:lnTo>
                    <a:pt x="395067" y="1142556"/>
                  </a:lnTo>
                  <a:cubicBezTo>
                    <a:pt x="430519" y="1161186"/>
                    <a:pt x="467598" y="1175624"/>
                    <a:pt x="505572" y="1185871"/>
                  </a:cubicBezTo>
                  <a:lnTo>
                    <a:pt x="508621" y="1186349"/>
                  </a:lnTo>
                  <a:lnTo>
                    <a:pt x="557325" y="1331323"/>
                  </a:lnTo>
                  <a:lnTo>
                    <a:pt x="748557" y="1331323"/>
                  </a:lnTo>
                  <a:lnTo>
                    <a:pt x="799490" y="1179714"/>
                  </a:lnTo>
                  <a:lnTo>
                    <a:pt x="851737" y="1164912"/>
                  </a:lnTo>
                  <a:lnTo>
                    <a:pt x="912127" y="1133133"/>
                  </a:ln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xnSp macro="">
        <xdr:nvCxnSpPr>
          <xdr:cNvPr id="100" name="Соединитель: уступ 27">
            <a:extLst>
              <a:ext uri="{FF2B5EF4-FFF2-40B4-BE49-F238E27FC236}">
                <a16:creationId xmlns:a16="http://schemas.microsoft.com/office/drawing/2014/main" id="{B9AB28DD-B8A4-4246-BF2A-9C7D06F9F182}"/>
              </a:ext>
            </a:extLst>
          </xdr:cNvPr>
          <xdr:cNvCxnSpPr>
            <a:cxnSpLocks/>
            <a:endCxn id="97" idx="3"/>
          </xdr:cNvCxnSpPr>
        </xdr:nvCxnSpPr>
        <xdr:spPr>
          <a:xfrm rot="16200000" flipV="1">
            <a:off x="7263982" y="2355688"/>
            <a:ext cx="421632" cy="394869"/>
          </a:xfrm>
          <a:prstGeom prst="bentConnector2">
            <a:avLst/>
          </a:prstGeom>
          <a:ln>
            <a:solidFill>
              <a:schemeClr val="bg1">
                <a:lumMod val="75000"/>
              </a:schemeClr>
            </a:solidFill>
            <a:headEnd type="none"/>
            <a:tailEnd type="oval"/>
          </a:ln>
        </xdr:spPr>
        <xdr:style>
          <a:lnRef idx="1">
            <a:schemeClr val="accent1"/>
          </a:lnRef>
          <a:fillRef idx="0">
            <a:schemeClr val="accent1"/>
          </a:fillRef>
          <a:effectRef idx="0">
            <a:schemeClr val="accent1"/>
          </a:effectRef>
          <a:fontRef idx="minor">
            <a:schemeClr val="tx1"/>
          </a:fontRef>
        </xdr:style>
      </xdr:cxnSp>
      <xdr:cxnSp macro="">
        <xdr:nvCxnSpPr>
          <xdr:cNvPr id="101" name="Прямая соединительная линия 100">
            <a:extLst>
              <a:ext uri="{FF2B5EF4-FFF2-40B4-BE49-F238E27FC236}">
                <a16:creationId xmlns:a16="http://schemas.microsoft.com/office/drawing/2014/main" id="{12643A60-E110-43AA-BC1C-EC68809C1AD2}"/>
              </a:ext>
            </a:extLst>
          </xdr:cNvPr>
          <xdr:cNvCxnSpPr>
            <a:cxnSpLocks/>
          </xdr:cNvCxnSpPr>
        </xdr:nvCxnSpPr>
        <xdr:spPr>
          <a:xfrm>
            <a:off x="7277363" y="2040837"/>
            <a:ext cx="0" cy="60294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287555</xdr:colOff>
      <xdr:row>20</xdr:row>
      <xdr:rowOff>85945</xdr:rowOff>
    </xdr:from>
    <xdr:to>
      <xdr:col>14</xdr:col>
      <xdr:colOff>464802</xdr:colOff>
      <xdr:row>29</xdr:row>
      <xdr:rowOff>98731</xdr:rowOff>
    </xdr:to>
    <xdr:grpSp>
      <xdr:nvGrpSpPr>
        <xdr:cNvPr id="31" name="Группа 30">
          <a:extLst>
            <a:ext uri="{FF2B5EF4-FFF2-40B4-BE49-F238E27FC236}">
              <a16:creationId xmlns:a16="http://schemas.microsoft.com/office/drawing/2014/main" id="{6872FE01-C636-41A7-8BF3-9151A25D4E20}"/>
            </a:ext>
          </a:extLst>
        </xdr:cNvPr>
        <xdr:cNvGrpSpPr/>
      </xdr:nvGrpSpPr>
      <xdr:grpSpPr>
        <a:xfrm>
          <a:off x="2708026" y="4220916"/>
          <a:ext cx="6228423" cy="1727286"/>
          <a:chOff x="2767910" y="2952341"/>
          <a:chExt cx="6273247" cy="1658706"/>
        </a:xfrm>
      </xdr:grpSpPr>
      <xdr:sp macro="" textlink="">
        <xdr:nvSpPr>
          <xdr:cNvPr id="76" name="Параллелограмм 75">
            <a:extLst>
              <a:ext uri="{FF2B5EF4-FFF2-40B4-BE49-F238E27FC236}">
                <a16:creationId xmlns:a16="http://schemas.microsoft.com/office/drawing/2014/main" id="{2F78EFD6-49DF-4A9B-B488-A1E1ADC75B0A}"/>
              </a:ext>
            </a:extLst>
          </xdr:cNvPr>
          <xdr:cNvSpPr/>
        </xdr:nvSpPr>
        <xdr:spPr bwMode="auto">
          <a:xfrm flipH="1">
            <a:off x="6211720" y="4220522"/>
            <a:ext cx="417513" cy="390525"/>
          </a:xfrm>
          <a:prstGeom prst="parallelogram">
            <a:avLst/>
          </a:prstGeom>
          <a:solidFill>
            <a:srgbClr val="1F69C8"/>
          </a:solidFill>
          <a:ln w="19050">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7" name="Прямоугольник: скругленные углы 41">
            <a:extLst>
              <a:ext uri="{FF2B5EF4-FFF2-40B4-BE49-F238E27FC236}">
                <a16:creationId xmlns:a16="http://schemas.microsoft.com/office/drawing/2014/main" id="{3D6617B8-01D0-456C-B579-274F864A1FD9}"/>
              </a:ext>
            </a:extLst>
          </xdr:cNvPr>
          <xdr:cNvSpPr/>
        </xdr:nvSpPr>
        <xdr:spPr bwMode="auto">
          <a:xfrm>
            <a:off x="6211722" y="3592189"/>
            <a:ext cx="2263775" cy="731520"/>
          </a:xfrm>
          <a:prstGeom prst="roundRect">
            <a:avLst/>
          </a:prstGeom>
          <a:solidFill>
            <a:srgbClr val="3FA7E3"/>
          </a:solidFill>
          <a:ln w="19050">
            <a:solidFill>
              <a:schemeClr val="bg1"/>
            </a:solid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Собрать образы контейнеров</a:t>
            </a:r>
            <a:endParaRPr lang="en-US" sz="1400" b="1" cap="all">
              <a:solidFill>
                <a:schemeClr val="bg1"/>
              </a:solidFill>
              <a:latin typeface="Segoe UI" panose="020B0502040204020203" pitchFamily="34" charset="0"/>
              <a:ea typeface="Segoe UI" panose="020B0502040204020203" pitchFamily="34" charset="0"/>
              <a:cs typeface="Segoe UI" panose="020B0502040204020203" pitchFamily="34" charset="0"/>
            </a:endParaRPr>
          </a:p>
        </xdr:txBody>
      </xdr:sp>
      <xdr:sp macro="" textlink="">
        <xdr:nvSpPr>
          <xdr:cNvPr id="78" name="Прямоугольник 77">
            <a:extLst>
              <a:ext uri="{FF2B5EF4-FFF2-40B4-BE49-F238E27FC236}">
                <a16:creationId xmlns:a16="http://schemas.microsoft.com/office/drawing/2014/main" id="{D95BFD1C-B992-428E-AFD1-DDC244422F0C}"/>
              </a:ext>
            </a:extLst>
          </xdr:cNvPr>
          <xdr:cNvSpPr/>
        </xdr:nvSpPr>
        <xdr:spPr bwMode="auto">
          <a:xfrm>
            <a:off x="2767910" y="2952341"/>
            <a:ext cx="3051985" cy="602940"/>
          </a:xfrm>
          <a:prstGeom prst="rect">
            <a:avLst/>
          </a:prstGeom>
          <a:noFill/>
          <a:ln>
            <a:noFill/>
          </a:ln>
        </xdr:spPr>
        <xdr:txBody>
          <a:bodyPr wrap="square" lIns="0" tIns="0" rIns="9144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latin typeface="Segoe UI"/>
              </a:rPr>
              <a:t>Используя базовые образы формируются требуемые образы</a:t>
            </a:r>
            <a:endParaRPr kumimoji="0" lang="en-US" sz="1200" b="0" i="0" u="none" strike="noStrike" kern="0" cap="none" spc="0" normalizeH="0" baseline="0">
              <a:ln>
                <a:noFill/>
              </a:ln>
              <a:solidFill>
                <a:srgbClr val="001031"/>
              </a:solidFill>
              <a:effectLst/>
              <a:uLnTx/>
              <a:uFillTx/>
              <a:latin typeface="Segoe UI"/>
            </a:endParaRPr>
          </a:p>
        </xdr:txBody>
      </xdr:sp>
      <xdr:sp macro="" textlink="">
        <xdr:nvSpPr>
          <xdr:cNvPr id="79" name="TextBox 43">
            <a:extLst>
              <a:ext uri="{FF2B5EF4-FFF2-40B4-BE49-F238E27FC236}">
                <a16:creationId xmlns:a16="http://schemas.microsoft.com/office/drawing/2014/main" id="{0452DB71-2473-4CFF-8785-552A2E15494C}"/>
              </a:ext>
            </a:extLst>
          </xdr:cNvPr>
          <xdr:cNvSpPr txBox="1"/>
        </xdr:nvSpPr>
        <xdr:spPr>
          <a:xfrm>
            <a:off x="6321793" y="3355233"/>
            <a:ext cx="1055412" cy="236956"/>
          </a:xfrm>
          <a:prstGeom prst="rect">
            <a:avLst/>
          </a:prstGeom>
          <a:no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b="1">
                <a:solidFill>
                  <a:srgbClr val="3FA7E3"/>
                </a:solidFill>
                <a:latin typeface="Segoe UI" panose="020B0502040204020203" pitchFamily="34" charset="0"/>
                <a:ea typeface="Segoe UI" panose="020B0502040204020203" pitchFamily="34" charset="0"/>
                <a:cs typeface="Segoe UI" panose="020B0502040204020203" pitchFamily="34" charset="0"/>
              </a:rPr>
              <a:t>Шаг </a:t>
            </a:r>
            <a:r>
              <a:rPr lang="en-US" sz="1400" b="1">
                <a:solidFill>
                  <a:srgbClr val="3FA7E3"/>
                </a:solidFill>
                <a:latin typeface="Segoe UI" panose="020B0502040204020203" pitchFamily="34" charset="0"/>
                <a:ea typeface="Segoe UI" panose="020B0502040204020203" pitchFamily="34" charset="0"/>
                <a:cs typeface="Segoe UI" panose="020B0502040204020203" pitchFamily="34" charset="0"/>
              </a:rPr>
              <a:t>#</a:t>
            </a:r>
            <a:r>
              <a:rPr lang="ru-RU" sz="1400" b="1">
                <a:solidFill>
                  <a:srgbClr val="3FA7E3"/>
                </a:solidFill>
                <a:latin typeface="Segoe UI" panose="020B0502040204020203" pitchFamily="34" charset="0"/>
                <a:ea typeface="Segoe UI" panose="020B0502040204020203" pitchFamily="34" charset="0"/>
                <a:cs typeface="Segoe UI" panose="020B0502040204020203" pitchFamily="34" charset="0"/>
              </a:rPr>
              <a:t>3</a:t>
            </a:r>
            <a:endParaRPr lang="en-US" sz="1400" b="1">
              <a:solidFill>
                <a:srgbClr val="3FA7E3"/>
              </a:solidFill>
              <a:latin typeface="Segoe UI" panose="020B0502040204020203" pitchFamily="34" charset="0"/>
              <a:ea typeface="Segoe UI" panose="020B0502040204020203" pitchFamily="34" charset="0"/>
              <a:cs typeface="Segoe UI" panose="020B0502040204020203" pitchFamily="34" charset="0"/>
            </a:endParaRPr>
          </a:p>
        </xdr:txBody>
      </xdr:sp>
      <xdr:grpSp>
        <xdr:nvGrpSpPr>
          <xdr:cNvPr id="80" name="Группа 79">
            <a:extLst>
              <a:ext uri="{FF2B5EF4-FFF2-40B4-BE49-F238E27FC236}">
                <a16:creationId xmlns:a16="http://schemas.microsoft.com/office/drawing/2014/main" id="{18263395-9208-41AD-8344-FFF04D053114}"/>
              </a:ext>
            </a:extLst>
          </xdr:cNvPr>
          <xdr:cNvGrpSpPr>
            <a:grpSpLocks noChangeAspect="1"/>
          </xdr:cNvGrpSpPr>
        </xdr:nvGrpSpPr>
        <xdr:grpSpPr>
          <a:xfrm>
            <a:off x="8594031" y="3674259"/>
            <a:ext cx="447126" cy="567382"/>
            <a:chOff x="7194469" y="5115484"/>
            <a:chExt cx="685782" cy="870226"/>
          </a:xfrm>
          <a:solidFill>
            <a:srgbClr val="0033CC"/>
          </a:solidFill>
        </xdr:grpSpPr>
        <xdr:sp macro="" textlink="">
          <xdr:nvSpPr>
            <xdr:cNvPr id="83" name="Полилиния 82">
              <a:extLst>
                <a:ext uri="{FF2B5EF4-FFF2-40B4-BE49-F238E27FC236}">
                  <a16:creationId xmlns:a16="http://schemas.microsoft.com/office/drawing/2014/main" id="{402EFBFA-46AE-490B-9F14-ECDCD0204F79}"/>
                </a:ext>
              </a:extLst>
            </xdr:cNvPr>
            <xdr:cNvSpPr/>
          </xdr:nvSpPr>
          <xdr:spPr>
            <a:xfrm rot="18488263" flipV="1">
              <a:off x="7386075" y="5465009"/>
              <a:ext cx="136173" cy="13617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4" name="Полилиния 83">
              <a:extLst>
                <a:ext uri="{FF2B5EF4-FFF2-40B4-BE49-F238E27FC236}">
                  <a16:creationId xmlns:a16="http://schemas.microsoft.com/office/drawing/2014/main" id="{B7F049D6-2CC7-4AC5-924E-127468A2C033}"/>
                </a:ext>
              </a:extLst>
            </xdr:cNvPr>
            <xdr:cNvSpPr/>
          </xdr:nvSpPr>
          <xdr:spPr>
            <a:xfrm rot="18394870" flipV="1">
              <a:off x="7234632" y="5288687"/>
              <a:ext cx="201330" cy="201330"/>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5" name="Полилиния 84">
              <a:extLst>
                <a:ext uri="{FF2B5EF4-FFF2-40B4-BE49-F238E27FC236}">
                  <a16:creationId xmlns:a16="http://schemas.microsoft.com/office/drawing/2014/main" id="{8E9EA3A0-4034-4C03-9A47-5E78E0BB2FC5}"/>
                </a:ext>
              </a:extLst>
            </xdr:cNvPr>
            <xdr:cNvSpPr/>
          </xdr:nvSpPr>
          <xdr:spPr>
            <a:xfrm rot="18590369" flipV="1">
              <a:off x="7597139" y="5451452"/>
              <a:ext cx="260692" cy="305533"/>
            </a:xfrm>
            <a:custGeom>
              <a:avLst/>
              <a:gdLst>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35071 w 1796535"/>
                <a:gd name="connsiteY25" fmla="*/ 599465 h 2105550"/>
                <a:gd name="connsiteX26" fmla="*/ 743761 w 1796535"/>
                <a:gd name="connsiteY26" fmla="*/ 598632 h 2105550"/>
                <a:gd name="connsiteX27" fmla="*/ 1064888 w 1796535"/>
                <a:gd name="connsiteY27" fmla="*/ 731647 h 2105550"/>
                <a:gd name="connsiteX28" fmla="*/ 1064888 w 1796535"/>
                <a:gd name="connsiteY28" fmla="*/ 1373903 h 2105550"/>
                <a:gd name="connsiteX29" fmla="*/ 493876 w 1796535"/>
                <a:gd name="connsiteY29" fmla="*/ 1432097 h 2105550"/>
                <a:gd name="connsiteX30" fmla="*/ 484968 w 1796535"/>
                <a:gd name="connsiteY30" fmla="*/ 1424821 h 2105550"/>
                <a:gd name="connsiteX31" fmla="*/ 184804 w 1796535"/>
                <a:gd name="connsiteY31" fmla="*/ 1740103 h 2105550"/>
                <a:gd name="connsiteX32" fmla="*/ 0 w 1796535"/>
                <a:gd name="connsiteY32" fmla="*/ 1744642 h 2105550"/>
                <a:gd name="connsiteX33" fmla="*/ 149989 w 1796535"/>
                <a:gd name="connsiteY33" fmla="*/ 1894631 h 2105550"/>
                <a:gd name="connsiteX34" fmla="*/ 226808 w 1796535"/>
                <a:gd name="connsiteY34" fmla="*/ 1894631 h 2105550"/>
                <a:gd name="connsiteX35" fmla="*/ 344262 w 1796535"/>
                <a:gd name="connsiteY35" fmla="*/ 1777177 h 2105550"/>
                <a:gd name="connsiteX36" fmla="*/ 358637 w 1796535"/>
                <a:gd name="connsiteY36" fmla="*/ 1786168 h 2105550"/>
                <a:gd name="connsiteX37" fmla="*/ 497123 w 1796535"/>
                <a:gd name="connsiteY37" fmla="*/ 1840452 h 2105550"/>
                <a:gd name="connsiteX38" fmla="*/ 497123 w 1796535"/>
                <a:gd name="connsiteY38" fmla="*/ 2051230 h 2105550"/>
                <a:gd name="connsiteX39" fmla="*/ 551443 w 1796535"/>
                <a:gd name="connsiteY39" fmla="*/ 2105550 h 2105550"/>
                <a:gd name="connsiteX40" fmla="*/ 902287 w 1796535"/>
                <a:gd name="connsiteY40" fmla="*/ 2105550 h 2105550"/>
                <a:gd name="connsiteX41" fmla="*/ 956607 w 1796535"/>
                <a:gd name="connsiteY41" fmla="*/ 2051230 h 2105550"/>
                <a:gd name="connsiteX42" fmla="*/ 956607 w 1796535"/>
                <a:gd name="connsiteY42" fmla="*/ 1848264 h 2105550"/>
                <a:gd name="connsiteX43" fmla="*/ 1055390 w 1796535"/>
                <a:gd name="connsiteY43" fmla="*/ 1820279 h 2105550"/>
                <a:gd name="connsiteX44" fmla="*/ 1141203 w 1796535"/>
                <a:gd name="connsiteY44" fmla="*/ 1775122 h 2105550"/>
                <a:gd name="connsiteX45" fmla="*/ 1290937 w 1796535"/>
                <a:gd name="connsiteY45" fmla="*/ 1924853 h 2105550"/>
                <a:gd name="connsiteX46" fmla="*/ 1367757 w 1796535"/>
                <a:gd name="connsiteY46" fmla="*/ 1924853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43761 w 1796535"/>
                <a:gd name="connsiteY25" fmla="*/ 598632 h 2105550"/>
                <a:gd name="connsiteX26" fmla="*/ 1064888 w 1796535"/>
                <a:gd name="connsiteY26" fmla="*/ 731647 h 2105550"/>
                <a:gd name="connsiteX27" fmla="*/ 1064888 w 1796535"/>
                <a:gd name="connsiteY27" fmla="*/ 1373903 h 2105550"/>
                <a:gd name="connsiteX28" fmla="*/ 493876 w 1796535"/>
                <a:gd name="connsiteY28" fmla="*/ 1432097 h 2105550"/>
                <a:gd name="connsiteX29" fmla="*/ 484968 w 1796535"/>
                <a:gd name="connsiteY29" fmla="*/ 1424821 h 2105550"/>
                <a:gd name="connsiteX30" fmla="*/ 184804 w 1796535"/>
                <a:gd name="connsiteY30" fmla="*/ 1740103 h 2105550"/>
                <a:gd name="connsiteX31" fmla="*/ 0 w 1796535"/>
                <a:gd name="connsiteY31" fmla="*/ 1744642 h 2105550"/>
                <a:gd name="connsiteX32" fmla="*/ 149989 w 1796535"/>
                <a:gd name="connsiteY32" fmla="*/ 1894631 h 2105550"/>
                <a:gd name="connsiteX33" fmla="*/ 226808 w 1796535"/>
                <a:gd name="connsiteY33" fmla="*/ 1894631 h 2105550"/>
                <a:gd name="connsiteX34" fmla="*/ 344262 w 1796535"/>
                <a:gd name="connsiteY34" fmla="*/ 1777177 h 2105550"/>
                <a:gd name="connsiteX35" fmla="*/ 358637 w 1796535"/>
                <a:gd name="connsiteY35" fmla="*/ 1786168 h 2105550"/>
                <a:gd name="connsiteX36" fmla="*/ 497123 w 1796535"/>
                <a:gd name="connsiteY36" fmla="*/ 1840452 h 2105550"/>
                <a:gd name="connsiteX37" fmla="*/ 497123 w 1796535"/>
                <a:gd name="connsiteY37" fmla="*/ 2051230 h 2105550"/>
                <a:gd name="connsiteX38" fmla="*/ 551443 w 1796535"/>
                <a:gd name="connsiteY38" fmla="*/ 2105550 h 2105550"/>
                <a:gd name="connsiteX39" fmla="*/ 902287 w 1796535"/>
                <a:gd name="connsiteY39" fmla="*/ 2105550 h 2105550"/>
                <a:gd name="connsiteX40" fmla="*/ 956607 w 1796535"/>
                <a:gd name="connsiteY40" fmla="*/ 2051230 h 2105550"/>
                <a:gd name="connsiteX41" fmla="*/ 956607 w 1796535"/>
                <a:gd name="connsiteY41" fmla="*/ 1848264 h 2105550"/>
                <a:gd name="connsiteX42" fmla="*/ 1055390 w 1796535"/>
                <a:gd name="connsiteY42" fmla="*/ 1820279 h 2105550"/>
                <a:gd name="connsiteX43" fmla="*/ 1141203 w 1796535"/>
                <a:gd name="connsiteY43" fmla="*/ 1775122 h 2105550"/>
                <a:gd name="connsiteX44" fmla="*/ 1290937 w 1796535"/>
                <a:gd name="connsiteY44" fmla="*/ 1924853 h 2105550"/>
                <a:gd name="connsiteX45" fmla="*/ 1367757 w 1796535"/>
                <a:gd name="connsiteY45" fmla="*/ 1924853 h 2105550"/>
                <a:gd name="connsiteX46" fmla="*/ 1615840 w 1796535"/>
                <a:gd name="connsiteY46" fmla="*/ 1676769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43761 w 1796535"/>
                <a:gd name="connsiteY24" fmla="*/ 598632 h 2105550"/>
                <a:gd name="connsiteX25" fmla="*/ 1064888 w 1796535"/>
                <a:gd name="connsiteY25" fmla="*/ 731647 h 2105550"/>
                <a:gd name="connsiteX26" fmla="*/ 1064888 w 1796535"/>
                <a:gd name="connsiteY26" fmla="*/ 1373903 h 2105550"/>
                <a:gd name="connsiteX27" fmla="*/ 493876 w 1796535"/>
                <a:gd name="connsiteY27" fmla="*/ 1432097 h 2105550"/>
                <a:gd name="connsiteX28" fmla="*/ 484968 w 1796535"/>
                <a:gd name="connsiteY28" fmla="*/ 1424821 h 2105550"/>
                <a:gd name="connsiteX29" fmla="*/ 184804 w 1796535"/>
                <a:gd name="connsiteY29" fmla="*/ 1740103 h 2105550"/>
                <a:gd name="connsiteX30" fmla="*/ 0 w 1796535"/>
                <a:gd name="connsiteY30" fmla="*/ 1744642 h 2105550"/>
                <a:gd name="connsiteX31" fmla="*/ 149989 w 1796535"/>
                <a:gd name="connsiteY31" fmla="*/ 1894631 h 2105550"/>
                <a:gd name="connsiteX32" fmla="*/ 226808 w 1796535"/>
                <a:gd name="connsiteY32" fmla="*/ 1894631 h 2105550"/>
                <a:gd name="connsiteX33" fmla="*/ 344262 w 1796535"/>
                <a:gd name="connsiteY33" fmla="*/ 1777177 h 2105550"/>
                <a:gd name="connsiteX34" fmla="*/ 358637 w 1796535"/>
                <a:gd name="connsiteY34" fmla="*/ 1786168 h 2105550"/>
                <a:gd name="connsiteX35" fmla="*/ 497123 w 1796535"/>
                <a:gd name="connsiteY35" fmla="*/ 1840452 h 2105550"/>
                <a:gd name="connsiteX36" fmla="*/ 497123 w 1796535"/>
                <a:gd name="connsiteY36" fmla="*/ 2051230 h 2105550"/>
                <a:gd name="connsiteX37" fmla="*/ 551443 w 1796535"/>
                <a:gd name="connsiteY37" fmla="*/ 2105550 h 2105550"/>
                <a:gd name="connsiteX38" fmla="*/ 902287 w 1796535"/>
                <a:gd name="connsiteY38" fmla="*/ 2105550 h 2105550"/>
                <a:gd name="connsiteX39" fmla="*/ 956607 w 1796535"/>
                <a:gd name="connsiteY39" fmla="*/ 2051230 h 2105550"/>
                <a:gd name="connsiteX40" fmla="*/ 956607 w 1796535"/>
                <a:gd name="connsiteY40" fmla="*/ 1848264 h 2105550"/>
                <a:gd name="connsiteX41" fmla="*/ 1055390 w 1796535"/>
                <a:gd name="connsiteY41" fmla="*/ 1820279 h 2105550"/>
                <a:gd name="connsiteX42" fmla="*/ 1141203 w 1796535"/>
                <a:gd name="connsiteY42" fmla="*/ 1775122 h 2105550"/>
                <a:gd name="connsiteX43" fmla="*/ 1290937 w 1796535"/>
                <a:gd name="connsiteY43" fmla="*/ 1924853 h 2105550"/>
                <a:gd name="connsiteX44" fmla="*/ 1367757 w 1796535"/>
                <a:gd name="connsiteY44" fmla="*/ 1924853 h 2105550"/>
                <a:gd name="connsiteX45" fmla="*/ 1615840 w 1796535"/>
                <a:gd name="connsiteY45" fmla="*/ 1676769 h 21055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1796535" h="2105550">
                  <a:moveTo>
                    <a:pt x="1615840" y="1676769"/>
                  </a:moveTo>
                  <a:cubicBezTo>
                    <a:pt x="1615840" y="1651162"/>
                    <a:pt x="1615841" y="1625556"/>
                    <a:pt x="1615841" y="1599949"/>
                  </a:cubicBezTo>
                  <a:lnTo>
                    <a:pt x="1466107" y="1450218"/>
                  </a:lnTo>
                  <a:lnTo>
                    <a:pt x="1511264" y="1364405"/>
                  </a:lnTo>
                  <a:lnTo>
                    <a:pt x="1539250" y="1265620"/>
                  </a:lnTo>
                  <a:lnTo>
                    <a:pt x="1742215" y="1265620"/>
                  </a:lnTo>
                  <a:lnTo>
                    <a:pt x="1796535" y="1211299"/>
                  </a:lnTo>
                  <a:lnTo>
                    <a:pt x="1796535" y="860456"/>
                  </a:lnTo>
                  <a:lnTo>
                    <a:pt x="1742215" y="806138"/>
                  </a:lnTo>
                  <a:lnTo>
                    <a:pt x="1531437" y="806136"/>
                  </a:lnTo>
                  <a:lnTo>
                    <a:pt x="1477153" y="667652"/>
                  </a:lnTo>
                  <a:lnTo>
                    <a:pt x="1468165" y="653277"/>
                  </a:lnTo>
                  <a:lnTo>
                    <a:pt x="1585616" y="535823"/>
                  </a:lnTo>
                  <a:lnTo>
                    <a:pt x="1585616" y="459003"/>
                  </a:lnTo>
                  <a:lnTo>
                    <a:pt x="1337531" y="210919"/>
                  </a:lnTo>
                  <a:lnTo>
                    <a:pt x="1260712" y="210920"/>
                  </a:lnTo>
                  <a:lnTo>
                    <a:pt x="1141203" y="330428"/>
                  </a:lnTo>
                  <a:lnTo>
                    <a:pt x="1055390" y="285274"/>
                  </a:lnTo>
                  <a:lnTo>
                    <a:pt x="990399" y="266011"/>
                  </a:lnTo>
                  <a:lnTo>
                    <a:pt x="990399" y="54320"/>
                  </a:lnTo>
                  <a:lnTo>
                    <a:pt x="936079" y="0"/>
                  </a:lnTo>
                  <a:lnTo>
                    <a:pt x="585235" y="0"/>
                  </a:lnTo>
                  <a:lnTo>
                    <a:pt x="565925" y="19311"/>
                  </a:lnTo>
                  <a:lnTo>
                    <a:pt x="680472" y="97613"/>
                  </a:lnTo>
                  <a:lnTo>
                    <a:pt x="743761" y="598632"/>
                  </a:lnTo>
                  <a:cubicBezTo>
                    <a:pt x="859986" y="598632"/>
                    <a:pt x="976211" y="642970"/>
                    <a:pt x="1064888" y="731647"/>
                  </a:cubicBezTo>
                  <a:cubicBezTo>
                    <a:pt x="1242244" y="909001"/>
                    <a:pt x="1242244" y="1196549"/>
                    <a:pt x="1064888" y="1373903"/>
                  </a:cubicBezTo>
                  <a:cubicBezTo>
                    <a:pt x="909704" y="1529087"/>
                    <a:pt x="670153" y="1548485"/>
                    <a:pt x="493876" y="1432097"/>
                  </a:cubicBezTo>
                  <a:lnTo>
                    <a:pt x="484968" y="1424821"/>
                  </a:lnTo>
                  <a:lnTo>
                    <a:pt x="184804" y="1740103"/>
                  </a:lnTo>
                  <a:lnTo>
                    <a:pt x="0" y="1744642"/>
                  </a:lnTo>
                  <a:lnTo>
                    <a:pt x="149989" y="1894631"/>
                  </a:lnTo>
                  <a:lnTo>
                    <a:pt x="226808" y="1894631"/>
                  </a:lnTo>
                  <a:lnTo>
                    <a:pt x="344262" y="1777177"/>
                  </a:lnTo>
                  <a:lnTo>
                    <a:pt x="358637" y="1786168"/>
                  </a:lnTo>
                  <a:lnTo>
                    <a:pt x="497123" y="1840452"/>
                  </a:lnTo>
                  <a:lnTo>
                    <a:pt x="497123" y="2051230"/>
                  </a:lnTo>
                  <a:lnTo>
                    <a:pt x="551443" y="2105550"/>
                  </a:lnTo>
                  <a:lnTo>
                    <a:pt x="902287" y="2105550"/>
                  </a:lnTo>
                  <a:lnTo>
                    <a:pt x="956607" y="2051230"/>
                  </a:lnTo>
                  <a:lnTo>
                    <a:pt x="956607" y="1848264"/>
                  </a:lnTo>
                  <a:lnTo>
                    <a:pt x="1055390" y="1820279"/>
                  </a:lnTo>
                  <a:lnTo>
                    <a:pt x="1141203" y="1775122"/>
                  </a:lnTo>
                  <a:lnTo>
                    <a:pt x="1290937" y="1924853"/>
                  </a:lnTo>
                  <a:lnTo>
                    <a:pt x="1367757" y="1924853"/>
                  </a:lnTo>
                  <a:lnTo>
                    <a:pt x="1615840" y="1676769"/>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6" name="Полилиния 85">
              <a:extLst>
                <a:ext uri="{FF2B5EF4-FFF2-40B4-BE49-F238E27FC236}">
                  <a16:creationId xmlns:a16="http://schemas.microsoft.com/office/drawing/2014/main" id="{AB914915-DBBD-4F6C-9548-E1B8AC3211E4}"/>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7" name="Полилиния 86">
              <a:extLst>
                <a:ext uri="{FF2B5EF4-FFF2-40B4-BE49-F238E27FC236}">
                  <a16:creationId xmlns:a16="http://schemas.microsoft.com/office/drawing/2014/main" id="{DDE296F2-D92F-47F4-BBBC-10D14CD06A2F}"/>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8" name="Полилиния 87">
              <a:extLst>
                <a:ext uri="{FF2B5EF4-FFF2-40B4-BE49-F238E27FC236}">
                  <a16:creationId xmlns:a16="http://schemas.microsoft.com/office/drawing/2014/main" id="{122BEDFD-BB5B-475D-A48F-AB9A71672752}"/>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9" name="Полилиния 88">
              <a:extLst>
                <a:ext uri="{FF2B5EF4-FFF2-40B4-BE49-F238E27FC236}">
                  <a16:creationId xmlns:a16="http://schemas.microsoft.com/office/drawing/2014/main" id="{2ED0F432-53F1-4B18-9E0E-6BEF969F6E4C}"/>
                </a:ext>
              </a:extLst>
            </xdr:cNvPr>
            <xdr:cNvSpPr/>
          </xdr:nvSpPr>
          <xdr:spPr>
            <a:xfrm>
              <a:off x="7194482" y="5507581"/>
              <a:ext cx="246888" cy="478129"/>
            </a:xfrm>
            <a:custGeom>
              <a:avLst/>
              <a:gdLst>
                <a:gd name="connsiteX0" fmla="*/ 219137 w 246888"/>
                <a:gd name="connsiteY0" fmla="*/ 411073 h 478129"/>
                <a:gd name="connsiteX1" fmla="*/ 208069 w 246888"/>
                <a:gd name="connsiteY1" fmla="*/ 438878 h 478129"/>
                <a:gd name="connsiteX2" fmla="*/ 218921 w 246888"/>
                <a:gd name="connsiteY2" fmla="*/ 465064 h 478129"/>
                <a:gd name="connsiteX3" fmla="*/ 229503 w 246888"/>
                <a:gd name="connsiteY3" fmla="*/ 438068 h 478129"/>
                <a:gd name="connsiteX4" fmla="*/ 219137 w 246888"/>
                <a:gd name="connsiteY4" fmla="*/ 411073 h 478129"/>
                <a:gd name="connsiteX5" fmla="*/ 28399 w 246888"/>
                <a:gd name="connsiteY5" fmla="*/ 411073 h 478129"/>
                <a:gd name="connsiteX6" fmla="*/ 17331 w 246888"/>
                <a:gd name="connsiteY6" fmla="*/ 438878 h 478129"/>
                <a:gd name="connsiteX7" fmla="*/ 28183 w 246888"/>
                <a:gd name="connsiteY7" fmla="*/ 465064 h 478129"/>
                <a:gd name="connsiteX8" fmla="*/ 38765 w 246888"/>
                <a:gd name="connsiteY8" fmla="*/ 438068 h 478129"/>
                <a:gd name="connsiteX9" fmla="*/ 28399 w 246888"/>
                <a:gd name="connsiteY9" fmla="*/ 411073 h 478129"/>
                <a:gd name="connsiteX10" fmla="*/ 219893 w 246888"/>
                <a:gd name="connsiteY10" fmla="*/ 398061 h 478129"/>
                <a:gd name="connsiteX11" fmla="*/ 246888 w 246888"/>
                <a:gd name="connsiteY11" fmla="*/ 437528 h 478129"/>
                <a:gd name="connsiteX12" fmla="*/ 239519 w 246888"/>
                <a:gd name="connsiteY12" fmla="*/ 467655 h 478129"/>
                <a:gd name="connsiteX13" fmla="*/ 218381 w 246888"/>
                <a:gd name="connsiteY13" fmla="*/ 478129 h 478129"/>
                <a:gd name="connsiteX14" fmla="*/ 190738 w 246888"/>
                <a:gd name="connsiteY14" fmla="*/ 439310 h 478129"/>
                <a:gd name="connsiteX15" fmla="*/ 198216 w 246888"/>
                <a:gd name="connsiteY15" fmla="*/ 408616 h 478129"/>
                <a:gd name="connsiteX16" fmla="*/ 219893 w 246888"/>
                <a:gd name="connsiteY16" fmla="*/ 398061 h 478129"/>
                <a:gd name="connsiteX17" fmla="*/ 165600 w 246888"/>
                <a:gd name="connsiteY17" fmla="*/ 398061 h 478129"/>
                <a:gd name="connsiteX18" fmla="*/ 165600 w 246888"/>
                <a:gd name="connsiteY18" fmla="*/ 463282 h 478129"/>
                <a:gd name="connsiteX19" fmla="*/ 181527 w 246888"/>
                <a:gd name="connsiteY19" fmla="*/ 463282 h 478129"/>
                <a:gd name="connsiteX20" fmla="*/ 181527 w 246888"/>
                <a:gd name="connsiteY20" fmla="*/ 476779 h 478129"/>
                <a:gd name="connsiteX21" fmla="*/ 132558 w 246888"/>
                <a:gd name="connsiteY21" fmla="*/ 476779 h 478129"/>
                <a:gd name="connsiteX22" fmla="*/ 132558 w 246888"/>
                <a:gd name="connsiteY22" fmla="*/ 463282 h 478129"/>
                <a:gd name="connsiteX23" fmla="*/ 148593 w 246888"/>
                <a:gd name="connsiteY23" fmla="*/ 463282 h 478129"/>
                <a:gd name="connsiteX24" fmla="*/ 148593 w 246888"/>
                <a:gd name="connsiteY24" fmla="*/ 415068 h 478129"/>
                <a:gd name="connsiteX25" fmla="*/ 132126 w 246888"/>
                <a:gd name="connsiteY25" fmla="*/ 418632 h 478129"/>
                <a:gd name="connsiteX26" fmla="*/ 132126 w 246888"/>
                <a:gd name="connsiteY26" fmla="*/ 404810 h 478129"/>
                <a:gd name="connsiteX27" fmla="*/ 102021 w 246888"/>
                <a:gd name="connsiteY27" fmla="*/ 398061 h 478129"/>
                <a:gd name="connsiteX28" fmla="*/ 102021 w 246888"/>
                <a:gd name="connsiteY28" fmla="*/ 463282 h 478129"/>
                <a:gd name="connsiteX29" fmla="*/ 117948 w 246888"/>
                <a:gd name="connsiteY29" fmla="*/ 463282 h 478129"/>
                <a:gd name="connsiteX30" fmla="*/ 117948 w 246888"/>
                <a:gd name="connsiteY30" fmla="*/ 476779 h 478129"/>
                <a:gd name="connsiteX31" fmla="*/ 68979 w 246888"/>
                <a:gd name="connsiteY31" fmla="*/ 476779 h 478129"/>
                <a:gd name="connsiteX32" fmla="*/ 68979 w 246888"/>
                <a:gd name="connsiteY32" fmla="*/ 463282 h 478129"/>
                <a:gd name="connsiteX33" fmla="*/ 85014 w 246888"/>
                <a:gd name="connsiteY33" fmla="*/ 463282 h 478129"/>
                <a:gd name="connsiteX34" fmla="*/ 85014 w 246888"/>
                <a:gd name="connsiteY34" fmla="*/ 415068 h 478129"/>
                <a:gd name="connsiteX35" fmla="*/ 68547 w 246888"/>
                <a:gd name="connsiteY35" fmla="*/ 418632 h 478129"/>
                <a:gd name="connsiteX36" fmla="*/ 68547 w 246888"/>
                <a:gd name="connsiteY36" fmla="*/ 404810 h 478129"/>
                <a:gd name="connsiteX37" fmla="*/ 29155 w 246888"/>
                <a:gd name="connsiteY37" fmla="*/ 398061 h 478129"/>
                <a:gd name="connsiteX38" fmla="*/ 56150 w 246888"/>
                <a:gd name="connsiteY38" fmla="*/ 437528 h 478129"/>
                <a:gd name="connsiteX39" fmla="*/ 48780 w 246888"/>
                <a:gd name="connsiteY39" fmla="*/ 467655 h 478129"/>
                <a:gd name="connsiteX40" fmla="*/ 27643 w 246888"/>
                <a:gd name="connsiteY40" fmla="*/ 478129 h 478129"/>
                <a:gd name="connsiteX41" fmla="*/ 0 w 246888"/>
                <a:gd name="connsiteY41" fmla="*/ 439310 h 478129"/>
                <a:gd name="connsiteX42" fmla="*/ 7477 w 246888"/>
                <a:gd name="connsiteY42" fmla="*/ 408616 h 478129"/>
                <a:gd name="connsiteX43" fmla="*/ 29155 w 246888"/>
                <a:gd name="connsiteY43" fmla="*/ 398061 h 478129"/>
                <a:gd name="connsiteX44" fmla="*/ 155558 w 246888"/>
                <a:gd name="connsiteY44" fmla="*/ 278385 h 478129"/>
                <a:gd name="connsiteX45" fmla="*/ 144490 w 246888"/>
                <a:gd name="connsiteY45" fmla="*/ 306191 h 478129"/>
                <a:gd name="connsiteX46" fmla="*/ 155342 w 246888"/>
                <a:gd name="connsiteY46" fmla="*/ 332376 h 478129"/>
                <a:gd name="connsiteX47" fmla="*/ 165924 w 246888"/>
                <a:gd name="connsiteY47" fmla="*/ 305381 h 478129"/>
                <a:gd name="connsiteX48" fmla="*/ 155558 w 246888"/>
                <a:gd name="connsiteY48" fmla="*/ 278385 h 478129"/>
                <a:gd name="connsiteX49" fmla="*/ 91979 w 246888"/>
                <a:gd name="connsiteY49" fmla="*/ 278385 h 478129"/>
                <a:gd name="connsiteX50" fmla="*/ 80911 w 246888"/>
                <a:gd name="connsiteY50" fmla="*/ 306191 h 478129"/>
                <a:gd name="connsiteX51" fmla="*/ 91763 w 246888"/>
                <a:gd name="connsiteY51" fmla="*/ 332376 h 478129"/>
                <a:gd name="connsiteX52" fmla="*/ 102345 w 246888"/>
                <a:gd name="connsiteY52" fmla="*/ 305381 h 478129"/>
                <a:gd name="connsiteX53" fmla="*/ 91979 w 246888"/>
                <a:gd name="connsiteY53" fmla="*/ 278385 h 478129"/>
                <a:gd name="connsiteX54" fmla="*/ 28399 w 246888"/>
                <a:gd name="connsiteY54" fmla="*/ 278385 h 478129"/>
                <a:gd name="connsiteX55" fmla="*/ 17331 w 246888"/>
                <a:gd name="connsiteY55" fmla="*/ 306191 h 478129"/>
                <a:gd name="connsiteX56" fmla="*/ 28183 w 246888"/>
                <a:gd name="connsiteY56" fmla="*/ 332376 h 478129"/>
                <a:gd name="connsiteX57" fmla="*/ 38765 w 246888"/>
                <a:gd name="connsiteY57" fmla="*/ 305381 h 478129"/>
                <a:gd name="connsiteX58" fmla="*/ 28399 w 246888"/>
                <a:gd name="connsiteY58" fmla="*/ 278385 h 478129"/>
                <a:gd name="connsiteX59" fmla="*/ 229179 w 246888"/>
                <a:gd name="connsiteY59" fmla="*/ 265374 h 478129"/>
                <a:gd name="connsiteX60" fmla="*/ 229179 w 246888"/>
                <a:gd name="connsiteY60" fmla="*/ 330594 h 478129"/>
                <a:gd name="connsiteX61" fmla="*/ 245106 w 246888"/>
                <a:gd name="connsiteY61" fmla="*/ 330594 h 478129"/>
                <a:gd name="connsiteX62" fmla="*/ 245106 w 246888"/>
                <a:gd name="connsiteY62" fmla="*/ 344092 h 478129"/>
                <a:gd name="connsiteX63" fmla="*/ 196137 w 246888"/>
                <a:gd name="connsiteY63" fmla="*/ 344092 h 478129"/>
                <a:gd name="connsiteX64" fmla="*/ 196137 w 246888"/>
                <a:gd name="connsiteY64" fmla="*/ 330594 h 478129"/>
                <a:gd name="connsiteX65" fmla="*/ 212172 w 246888"/>
                <a:gd name="connsiteY65" fmla="*/ 330594 h 478129"/>
                <a:gd name="connsiteX66" fmla="*/ 212172 w 246888"/>
                <a:gd name="connsiteY66" fmla="*/ 282381 h 478129"/>
                <a:gd name="connsiteX67" fmla="*/ 195705 w 246888"/>
                <a:gd name="connsiteY67" fmla="*/ 285944 h 478129"/>
                <a:gd name="connsiteX68" fmla="*/ 195705 w 246888"/>
                <a:gd name="connsiteY68" fmla="*/ 272122 h 478129"/>
                <a:gd name="connsiteX69" fmla="*/ 156314 w 246888"/>
                <a:gd name="connsiteY69" fmla="*/ 265374 h 478129"/>
                <a:gd name="connsiteX70" fmla="*/ 183309 w 246888"/>
                <a:gd name="connsiteY70" fmla="*/ 304841 h 478129"/>
                <a:gd name="connsiteX71" fmla="*/ 175939 w 246888"/>
                <a:gd name="connsiteY71" fmla="*/ 334968 h 478129"/>
                <a:gd name="connsiteX72" fmla="*/ 154802 w 246888"/>
                <a:gd name="connsiteY72" fmla="*/ 345442 h 478129"/>
                <a:gd name="connsiteX73" fmla="*/ 127159 w 246888"/>
                <a:gd name="connsiteY73" fmla="*/ 306622 h 478129"/>
                <a:gd name="connsiteX74" fmla="*/ 134636 w 246888"/>
                <a:gd name="connsiteY74" fmla="*/ 275929 h 478129"/>
                <a:gd name="connsiteX75" fmla="*/ 156314 w 246888"/>
                <a:gd name="connsiteY75" fmla="*/ 265374 h 478129"/>
                <a:gd name="connsiteX76" fmla="*/ 92735 w 246888"/>
                <a:gd name="connsiteY76" fmla="*/ 265374 h 478129"/>
                <a:gd name="connsiteX77" fmla="*/ 119730 w 246888"/>
                <a:gd name="connsiteY77" fmla="*/ 304841 h 478129"/>
                <a:gd name="connsiteX78" fmla="*/ 112360 w 246888"/>
                <a:gd name="connsiteY78" fmla="*/ 334968 h 478129"/>
                <a:gd name="connsiteX79" fmla="*/ 91223 w 246888"/>
                <a:gd name="connsiteY79" fmla="*/ 345442 h 478129"/>
                <a:gd name="connsiteX80" fmla="*/ 63580 w 246888"/>
                <a:gd name="connsiteY80" fmla="*/ 306622 h 478129"/>
                <a:gd name="connsiteX81" fmla="*/ 71057 w 246888"/>
                <a:gd name="connsiteY81" fmla="*/ 275929 h 478129"/>
                <a:gd name="connsiteX82" fmla="*/ 92735 w 246888"/>
                <a:gd name="connsiteY82" fmla="*/ 265374 h 478129"/>
                <a:gd name="connsiteX83" fmla="*/ 29155 w 246888"/>
                <a:gd name="connsiteY83" fmla="*/ 265374 h 478129"/>
                <a:gd name="connsiteX84" fmla="*/ 56150 w 246888"/>
                <a:gd name="connsiteY84" fmla="*/ 304841 h 478129"/>
                <a:gd name="connsiteX85" fmla="*/ 48780 w 246888"/>
                <a:gd name="connsiteY85" fmla="*/ 334968 h 478129"/>
                <a:gd name="connsiteX86" fmla="*/ 27643 w 246888"/>
                <a:gd name="connsiteY86" fmla="*/ 345442 h 478129"/>
                <a:gd name="connsiteX87" fmla="*/ 0 w 246888"/>
                <a:gd name="connsiteY87" fmla="*/ 306622 h 478129"/>
                <a:gd name="connsiteX88" fmla="*/ 7477 w 246888"/>
                <a:gd name="connsiteY88" fmla="*/ 275929 h 478129"/>
                <a:gd name="connsiteX89" fmla="*/ 29155 w 246888"/>
                <a:gd name="connsiteY89" fmla="*/ 265374 h 478129"/>
                <a:gd name="connsiteX90" fmla="*/ 219137 w 246888"/>
                <a:gd name="connsiteY90" fmla="*/ 145698 h 478129"/>
                <a:gd name="connsiteX91" fmla="*/ 208069 w 246888"/>
                <a:gd name="connsiteY91" fmla="*/ 173504 h 478129"/>
                <a:gd name="connsiteX92" fmla="*/ 218921 w 246888"/>
                <a:gd name="connsiteY92" fmla="*/ 199689 h 478129"/>
                <a:gd name="connsiteX93" fmla="*/ 229503 w 246888"/>
                <a:gd name="connsiteY93" fmla="*/ 172694 h 478129"/>
                <a:gd name="connsiteX94" fmla="*/ 219137 w 246888"/>
                <a:gd name="connsiteY94" fmla="*/ 145698 h 478129"/>
                <a:gd name="connsiteX95" fmla="*/ 28399 w 246888"/>
                <a:gd name="connsiteY95" fmla="*/ 145698 h 478129"/>
                <a:gd name="connsiteX96" fmla="*/ 17331 w 246888"/>
                <a:gd name="connsiteY96" fmla="*/ 173504 h 478129"/>
                <a:gd name="connsiteX97" fmla="*/ 28183 w 246888"/>
                <a:gd name="connsiteY97" fmla="*/ 199689 h 478129"/>
                <a:gd name="connsiteX98" fmla="*/ 38765 w 246888"/>
                <a:gd name="connsiteY98" fmla="*/ 172694 h 478129"/>
                <a:gd name="connsiteX99" fmla="*/ 28399 w 246888"/>
                <a:gd name="connsiteY99" fmla="*/ 145698 h 478129"/>
                <a:gd name="connsiteX100" fmla="*/ 219893 w 246888"/>
                <a:gd name="connsiteY100" fmla="*/ 132687 h 478129"/>
                <a:gd name="connsiteX101" fmla="*/ 246888 w 246888"/>
                <a:gd name="connsiteY101" fmla="*/ 172154 h 478129"/>
                <a:gd name="connsiteX102" fmla="*/ 239519 w 246888"/>
                <a:gd name="connsiteY102" fmla="*/ 202281 h 478129"/>
                <a:gd name="connsiteX103" fmla="*/ 218381 w 246888"/>
                <a:gd name="connsiteY103" fmla="*/ 212755 h 478129"/>
                <a:gd name="connsiteX104" fmla="*/ 190738 w 246888"/>
                <a:gd name="connsiteY104" fmla="*/ 173935 h 478129"/>
                <a:gd name="connsiteX105" fmla="*/ 198216 w 246888"/>
                <a:gd name="connsiteY105" fmla="*/ 143242 h 478129"/>
                <a:gd name="connsiteX106" fmla="*/ 219893 w 246888"/>
                <a:gd name="connsiteY106" fmla="*/ 132687 h 478129"/>
                <a:gd name="connsiteX107" fmla="*/ 165600 w 246888"/>
                <a:gd name="connsiteY107" fmla="*/ 132687 h 478129"/>
                <a:gd name="connsiteX108" fmla="*/ 165600 w 246888"/>
                <a:gd name="connsiteY108" fmla="*/ 197907 h 478129"/>
                <a:gd name="connsiteX109" fmla="*/ 181527 w 246888"/>
                <a:gd name="connsiteY109" fmla="*/ 197907 h 478129"/>
                <a:gd name="connsiteX110" fmla="*/ 181527 w 246888"/>
                <a:gd name="connsiteY110" fmla="*/ 211405 h 478129"/>
                <a:gd name="connsiteX111" fmla="*/ 132558 w 246888"/>
                <a:gd name="connsiteY111" fmla="*/ 211405 h 478129"/>
                <a:gd name="connsiteX112" fmla="*/ 132558 w 246888"/>
                <a:gd name="connsiteY112" fmla="*/ 197907 h 478129"/>
                <a:gd name="connsiteX113" fmla="*/ 148593 w 246888"/>
                <a:gd name="connsiteY113" fmla="*/ 197907 h 478129"/>
                <a:gd name="connsiteX114" fmla="*/ 148593 w 246888"/>
                <a:gd name="connsiteY114" fmla="*/ 149694 h 478129"/>
                <a:gd name="connsiteX115" fmla="*/ 132126 w 246888"/>
                <a:gd name="connsiteY115" fmla="*/ 153257 h 478129"/>
                <a:gd name="connsiteX116" fmla="*/ 132126 w 246888"/>
                <a:gd name="connsiteY116" fmla="*/ 139435 h 478129"/>
                <a:gd name="connsiteX117" fmla="*/ 102021 w 246888"/>
                <a:gd name="connsiteY117" fmla="*/ 132687 h 478129"/>
                <a:gd name="connsiteX118" fmla="*/ 102021 w 246888"/>
                <a:gd name="connsiteY118" fmla="*/ 197907 h 478129"/>
                <a:gd name="connsiteX119" fmla="*/ 117948 w 246888"/>
                <a:gd name="connsiteY119" fmla="*/ 197907 h 478129"/>
                <a:gd name="connsiteX120" fmla="*/ 117948 w 246888"/>
                <a:gd name="connsiteY120" fmla="*/ 211405 h 478129"/>
                <a:gd name="connsiteX121" fmla="*/ 68979 w 246888"/>
                <a:gd name="connsiteY121" fmla="*/ 211405 h 478129"/>
                <a:gd name="connsiteX122" fmla="*/ 68979 w 246888"/>
                <a:gd name="connsiteY122" fmla="*/ 197907 h 478129"/>
                <a:gd name="connsiteX123" fmla="*/ 85014 w 246888"/>
                <a:gd name="connsiteY123" fmla="*/ 197907 h 478129"/>
                <a:gd name="connsiteX124" fmla="*/ 85014 w 246888"/>
                <a:gd name="connsiteY124" fmla="*/ 149694 h 478129"/>
                <a:gd name="connsiteX125" fmla="*/ 68547 w 246888"/>
                <a:gd name="connsiteY125" fmla="*/ 153257 h 478129"/>
                <a:gd name="connsiteX126" fmla="*/ 68547 w 246888"/>
                <a:gd name="connsiteY126" fmla="*/ 139435 h 478129"/>
                <a:gd name="connsiteX127" fmla="*/ 29155 w 246888"/>
                <a:gd name="connsiteY127" fmla="*/ 132687 h 478129"/>
                <a:gd name="connsiteX128" fmla="*/ 56150 w 246888"/>
                <a:gd name="connsiteY128" fmla="*/ 172154 h 478129"/>
                <a:gd name="connsiteX129" fmla="*/ 48780 w 246888"/>
                <a:gd name="connsiteY129" fmla="*/ 202281 h 478129"/>
                <a:gd name="connsiteX130" fmla="*/ 27643 w 246888"/>
                <a:gd name="connsiteY130" fmla="*/ 212755 h 478129"/>
                <a:gd name="connsiteX131" fmla="*/ 0 w 246888"/>
                <a:gd name="connsiteY131" fmla="*/ 173935 h 478129"/>
                <a:gd name="connsiteX132" fmla="*/ 7477 w 246888"/>
                <a:gd name="connsiteY132" fmla="*/ 143242 h 478129"/>
                <a:gd name="connsiteX133" fmla="*/ 29155 w 246888"/>
                <a:gd name="connsiteY133" fmla="*/ 132687 h 478129"/>
                <a:gd name="connsiteX134" fmla="*/ 28399 w 246888"/>
                <a:gd name="connsiteY134" fmla="*/ 13011 h 478129"/>
                <a:gd name="connsiteX135" fmla="*/ 17331 w 246888"/>
                <a:gd name="connsiteY135" fmla="*/ 40817 h 478129"/>
                <a:gd name="connsiteX136" fmla="*/ 28183 w 246888"/>
                <a:gd name="connsiteY136" fmla="*/ 67002 h 478129"/>
                <a:gd name="connsiteX137" fmla="*/ 38765 w 246888"/>
                <a:gd name="connsiteY137" fmla="*/ 40007 h 478129"/>
                <a:gd name="connsiteX138" fmla="*/ 28399 w 246888"/>
                <a:gd name="connsiteY138" fmla="*/ 13011 h 478129"/>
                <a:gd name="connsiteX139" fmla="*/ 102021 w 246888"/>
                <a:gd name="connsiteY139" fmla="*/ 0 h 478129"/>
                <a:gd name="connsiteX140" fmla="*/ 102021 w 246888"/>
                <a:gd name="connsiteY140" fmla="*/ 65220 h 478129"/>
                <a:gd name="connsiteX141" fmla="*/ 117948 w 246888"/>
                <a:gd name="connsiteY141" fmla="*/ 65220 h 478129"/>
                <a:gd name="connsiteX142" fmla="*/ 117948 w 246888"/>
                <a:gd name="connsiteY142" fmla="*/ 78718 h 478129"/>
                <a:gd name="connsiteX143" fmla="*/ 68979 w 246888"/>
                <a:gd name="connsiteY143" fmla="*/ 78718 h 478129"/>
                <a:gd name="connsiteX144" fmla="*/ 68979 w 246888"/>
                <a:gd name="connsiteY144" fmla="*/ 65220 h 478129"/>
                <a:gd name="connsiteX145" fmla="*/ 85014 w 246888"/>
                <a:gd name="connsiteY145" fmla="*/ 65220 h 478129"/>
                <a:gd name="connsiteX146" fmla="*/ 85014 w 246888"/>
                <a:gd name="connsiteY146" fmla="*/ 17007 h 478129"/>
                <a:gd name="connsiteX147" fmla="*/ 68547 w 246888"/>
                <a:gd name="connsiteY147" fmla="*/ 20570 h 478129"/>
                <a:gd name="connsiteX148" fmla="*/ 68547 w 246888"/>
                <a:gd name="connsiteY148" fmla="*/ 6748 h 478129"/>
                <a:gd name="connsiteX149" fmla="*/ 29155 w 246888"/>
                <a:gd name="connsiteY149" fmla="*/ 0 h 478129"/>
                <a:gd name="connsiteX150" fmla="*/ 56150 w 246888"/>
                <a:gd name="connsiteY150" fmla="*/ 39467 h 478129"/>
                <a:gd name="connsiteX151" fmla="*/ 48780 w 246888"/>
                <a:gd name="connsiteY151" fmla="*/ 69594 h 478129"/>
                <a:gd name="connsiteX152" fmla="*/ 27643 w 246888"/>
                <a:gd name="connsiteY152" fmla="*/ 80068 h 478129"/>
                <a:gd name="connsiteX153" fmla="*/ 0 w 246888"/>
                <a:gd name="connsiteY153" fmla="*/ 41248 h 478129"/>
                <a:gd name="connsiteX154" fmla="*/ 7477 w 246888"/>
                <a:gd name="connsiteY154" fmla="*/ 10555 h 478129"/>
                <a:gd name="connsiteX155" fmla="*/ 29155 w 246888"/>
                <a:gd name="connsiteY155" fmla="*/ 0 h 4781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Lst>
              <a:rect l="l" t="t" r="r" b="b"/>
              <a:pathLst>
                <a:path w="246888" h="478129">
                  <a:moveTo>
                    <a:pt x="219137" y="411073"/>
                  </a:moveTo>
                  <a:cubicBezTo>
                    <a:pt x="211758" y="411073"/>
                    <a:pt x="208069" y="420341"/>
                    <a:pt x="208069" y="438878"/>
                  </a:cubicBezTo>
                  <a:cubicBezTo>
                    <a:pt x="208069" y="456335"/>
                    <a:pt x="211686" y="465064"/>
                    <a:pt x="218921" y="465064"/>
                  </a:cubicBezTo>
                  <a:cubicBezTo>
                    <a:pt x="225976" y="465064"/>
                    <a:pt x="229503" y="456065"/>
                    <a:pt x="229503" y="438068"/>
                  </a:cubicBezTo>
                  <a:cubicBezTo>
                    <a:pt x="229503" y="420071"/>
                    <a:pt x="226048" y="411073"/>
                    <a:pt x="219137" y="411073"/>
                  </a:cubicBezTo>
                  <a:close/>
                  <a:moveTo>
                    <a:pt x="28399" y="411073"/>
                  </a:moveTo>
                  <a:cubicBezTo>
                    <a:pt x="21020" y="411073"/>
                    <a:pt x="17331" y="420341"/>
                    <a:pt x="17331" y="438878"/>
                  </a:cubicBezTo>
                  <a:cubicBezTo>
                    <a:pt x="17331" y="456335"/>
                    <a:pt x="20948" y="465064"/>
                    <a:pt x="28183" y="465064"/>
                  </a:cubicBezTo>
                  <a:cubicBezTo>
                    <a:pt x="35238" y="465064"/>
                    <a:pt x="38765" y="456065"/>
                    <a:pt x="38765" y="438068"/>
                  </a:cubicBezTo>
                  <a:cubicBezTo>
                    <a:pt x="38765" y="420071"/>
                    <a:pt x="35309" y="411073"/>
                    <a:pt x="28399" y="411073"/>
                  </a:cubicBezTo>
                  <a:close/>
                  <a:moveTo>
                    <a:pt x="219893" y="398061"/>
                  </a:moveTo>
                  <a:cubicBezTo>
                    <a:pt x="237890" y="398061"/>
                    <a:pt x="246888" y="411217"/>
                    <a:pt x="246888" y="437528"/>
                  </a:cubicBezTo>
                  <a:cubicBezTo>
                    <a:pt x="246888" y="450630"/>
                    <a:pt x="244432" y="460672"/>
                    <a:pt x="239519" y="467655"/>
                  </a:cubicBezTo>
                  <a:cubicBezTo>
                    <a:pt x="234605" y="474638"/>
                    <a:pt x="227560" y="478129"/>
                    <a:pt x="218381" y="478129"/>
                  </a:cubicBezTo>
                  <a:cubicBezTo>
                    <a:pt x="199953" y="478129"/>
                    <a:pt x="190738" y="465190"/>
                    <a:pt x="190738" y="439310"/>
                  </a:cubicBezTo>
                  <a:cubicBezTo>
                    <a:pt x="190738" y="425884"/>
                    <a:pt x="193231" y="415653"/>
                    <a:pt x="198216" y="408616"/>
                  </a:cubicBezTo>
                  <a:cubicBezTo>
                    <a:pt x="203201" y="401580"/>
                    <a:pt x="210427" y="398061"/>
                    <a:pt x="219893" y="398061"/>
                  </a:cubicBezTo>
                  <a:close/>
                  <a:moveTo>
                    <a:pt x="165600" y="398061"/>
                  </a:moveTo>
                  <a:lnTo>
                    <a:pt x="165600" y="463282"/>
                  </a:lnTo>
                  <a:lnTo>
                    <a:pt x="181527" y="463282"/>
                  </a:lnTo>
                  <a:lnTo>
                    <a:pt x="181527" y="476779"/>
                  </a:lnTo>
                  <a:lnTo>
                    <a:pt x="132558" y="476779"/>
                  </a:lnTo>
                  <a:lnTo>
                    <a:pt x="132558" y="463282"/>
                  </a:lnTo>
                  <a:lnTo>
                    <a:pt x="148593" y="463282"/>
                  </a:lnTo>
                  <a:lnTo>
                    <a:pt x="148593" y="415068"/>
                  </a:lnTo>
                  <a:lnTo>
                    <a:pt x="132126" y="418632"/>
                  </a:lnTo>
                  <a:lnTo>
                    <a:pt x="132126" y="404810"/>
                  </a:lnTo>
                  <a:close/>
                  <a:moveTo>
                    <a:pt x="102021" y="398061"/>
                  </a:moveTo>
                  <a:lnTo>
                    <a:pt x="102021" y="463282"/>
                  </a:lnTo>
                  <a:lnTo>
                    <a:pt x="117948" y="463282"/>
                  </a:lnTo>
                  <a:lnTo>
                    <a:pt x="117948" y="476779"/>
                  </a:lnTo>
                  <a:lnTo>
                    <a:pt x="68979" y="476779"/>
                  </a:lnTo>
                  <a:lnTo>
                    <a:pt x="68979" y="463282"/>
                  </a:lnTo>
                  <a:lnTo>
                    <a:pt x="85014" y="463282"/>
                  </a:lnTo>
                  <a:lnTo>
                    <a:pt x="85014" y="415068"/>
                  </a:lnTo>
                  <a:lnTo>
                    <a:pt x="68547" y="418632"/>
                  </a:lnTo>
                  <a:lnTo>
                    <a:pt x="68547" y="404810"/>
                  </a:lnTo>
                  <a:close/>
                  <a:moveTo>
                    <a:pt x="29155" y="398061"/>
                  </a:moveTo>
                  <a:cubicBezTo>
                    <a:pt x="47151" y="398061"/>
                    <a:pt x="56150" y="411217"/>
                    <a:pt x="56150" y="437528"/>
                  </a:cubicBezTo>
                  <a:cubicBezTo>
                    <a:pt x="56150" y="450630"/>
                    <a:pt x="53693" y="460672"/>
                    <a:pt x="48780" y="467655"/>
                  </a:cubicBezTo>
                  <a:cubicBezTo>
                    <a:pt x="43867" y="474638"/>
                    <a:pt x="36821" y="478129"/>
                    <a:pt x="27643" y="478129"/>
                  </a:cubicBezTo>
                  <a:cubicBezTo>
                    <a:pt x="9214" y="478129"/>
                    <a:pt x="0" y="465190"/>
                    <a:pt x="0" y="439310"/>
                  </a:cubicBezTo>
                  <a:cubicBezTo>
                    <a:pt x="0" y="425884"/>
                    <a:pt x="2492" y="415653"/>
                    <a:pt x="7477" y="408616"/>
                  </a:cubicBezTo>
                  <a:cubicBezTo>
                    <a:pt x="12463" y="401580"/>
                    <a:pt x="19688" y="398061"/>
                    <a:pt x="29155" y="398061"/>
                  </a:cubicBezTo>
                  <a:close/>
                  <a:moveTo>
                    <a:pt x="155558" y="278385"/>
                  </a:moveTo>
                  <a:cubicBezTo>
                    <a:pt x="148179" y="278385"/>
                    <a:pt x="144490" y="287654"/>
                    <a:pt x="144490" y="306191"/>
                  </a:cubicBezTo>
                  <a:cubicBezTo>
                    <a:pt x="144490" y="323647"/>
                    <a:pt x="148107" y="332376"/>
                    <a:pt x="155342" y="332376"/>
                  </a:cubicBezTo>
                  <a:cubicBezTo>
                    <a:pt x="162397" y="332376"/>
                    <a:pt x="165924" y="323378"/>
                    <a:pt x="165924" y="305381"/>
                  </a:cubicBezTo>
                  <a:cubicBezTo>
                    <a:pt x="165924" y="287384"/>
                    <a:pt x="162468" y="278385"/>
                    <a:pt x="155558" y="278385"/>
                  </a:cubicBezTo>
                  <a:close/>
                  <a:moveTo>
                    <a:pt x="91979" y="278385"/>
                  </a:moveTo>
                  <a:cubicBezTo>
                    <a:pt x="84600" y="278385"/>
                    <a:pt x="80911" y="287654"/>
                    <a:pt x="80911" y="306191"/>
                  </a:cubicBezTo>
                  <a:cubicBezTo>
                    <a:pt x="80911" y="323647"/>
                    <a:pt x="84528" y="332376"/>
                    <a:pt x="91763" y="332376"/>
                  </a:cubicBezTo>
                  <a:cubicBezTo>
                    <a:pt x="98818" y="332376"/>
                    <a:pt x="102345" y="323378"/>
                    <a:pt x="102345" y="305381"/>
                  </a:cubicBezTo>
                  <a:cubicBezTo>
                    <a:pt x="102345" y="287384"/>
                    <a:pt x="98889" y="278385"/>
                    <a:pt x="91979" y="278385"/>
                  </a:cubicBezTo>
                  <a:close/>
                  <a:moveTo>
                    <a:pt x="28399" y="278385"/>
                  </a:moveTo>
                  <a:cubicBezTo>
                    <a:pt x="21020" y="278385"/>
                    <a:pt x="17331" y="287654"/>
                    <a:pt x="17331" y="306191"/>
                  </a:cubicBezTo>
                  <a:cubicBezTo>
                    <a:pt x="17331" y="323647"/>
                    <a:pt x="20948" y="332376"/>
                    <a:pt x="28183" y="332376"/>
                  </a:cubicBezTo>
                  <a:cubicBezTo>
                    <a:pt x="35238" y="332376"/>
                    <a:pt x="38765" y="323378"/>
                    <a:pt x="38765" y="305381"/>
                  </a:cubicBezTo>
                  <a:cubicBezTo>
                    <a:pt x="38765" y="287384"/>
                    <a:pt x="35309" y="278385"/>
                    <a:pt x="28399" y="278385"/>
                  </a:cubicBezTo>
                  <a:close/>
                  <a:moveTo>
                    <a:pt x="229179" y="265374"/>
                  </a:moveTo>
                  <a:lnTo>
                    <a:pt x="229179" y="330594"/>
                  </a:lnTo>
                  <a:lnTo>
                    <a:pt x="245106" y="330594"/>
                  </a:lnTo>
                  <a:lnTo>
                    <a:pt x="245106" y="344092"/>
                  </a:lnTo>
                  <a:lnTo>
                    <a:pt x="196137" y="344092"/>
                  </a:lnTo>
                  <a:lnTo>
                    <a:pt x="196137" y="330594"/>
                  </a:lnTo>
                  <a:lnTo>
                    <a:pt x="212172" y="330594"/>
                  </a:lnTo>
                  <a:lnTo>
                    <a:pt x="212172" y="282381"/>
                  </a:lnTo>
                  <a:lnTo>
                    <a:pt x="195705" y="285944"/>
                  </a:lnTo>
                  <a:lnTo>
                    <a:pt x="195705" y="272122"/>
                  </a:lnTo>
                  <a:close/>
                  <a:moveTo>
                    <a:pt x="156314" y="265374"/>
                  </a:moveTo>
                  <a:cubicBezTo>
                    <a:pt x="174310" y="265374"/>
                    <a:pt x="183309" y="278529"/>
                    <a:pt x="183309" y="304841"/>
                  </a:cubicBezTo>
                  <a:cubicBezTo>
                    <a:pt x="183309" y="317943"/>
                    <a:pt x="180852" y="327985"/>
                    <a:pt x="175939" y="334968"/>
                  </a:cubicBezTo>
                  <a:cubicBezTo>
                    <a:pt x="171026" y="341950"/>
                    <a:pt x="163980" y="345442"/>
                    <a:pt x="154802" y="345442"/>
                  </a:cubicBezTo>
                  <a:cubicBezTo>
                    <a:pt x="136373" y="345442"/>
                    <a:pt x="127159" y="332502"/>
                    <a:pt x="127159" y="306622"/>
                  </a:cubicBezTo>
                  <a:cubicBezTo>
                    <a:pt x="127159" y="293197"/>
                    <a:pt x="129651" y="282966"/>
                    <a:pt x="134636" y="275929"/>
                  </a:cubicBezTo>
                  <a:cubicBezTo>
                    <a:pt x="139622" y="268892"/>
                    <a:pt x="146847" y="265374"/>
                    <a:pt x="156314" y="265374"/>
                  </a:cubicBezTo>
                  <a:close/>
                  <a:moveTo>
                    <a:pt x="92735" y="265374"/>
                  </a:moveTo>
                  <a:cubicBezTo>
                    <a:pt x="110731" y="265374"/>
                    <a:pt x="119730" y="278529"/>
                    <a:pt x="119730" y="304841"/>
                  </a:cubicBezTo>
                  <a:cubicBezTo>
                    <a:pt x="119730" y="317943"/>
                    <a:pt x="117273" y="327985"/>
                    <a:pt x="112360" y="334968"/>
                  </a:cubicBezTo>
                  <a:cubicBezTo>
                    <a:pt x="107447" y="341950"/>
                    <a:pt x="100401" y="345442"/>
                    <a:pt x="91223" y="345442"/>
                  </a:cubicBezTo>
                  <a:cubicBezTo>
                    <a:pt x="72794" y="345442"/>
                    <a:pt x="63580" y="332502"/>
                    <a:pt x="63580" y="306622"/>
                  </a:cubicBezTo>
                  <a:cubicBezTo>
                    <a:pt x="63580" y="293197"/>
                    <a:pt x="66072" y="282966"/>
                    <a:pt x="71057" y="275929"/>
                  </a:cubicBezTo>
                  <a:cubicBezTo>
                    <a:pt x="76043" y="268892"/>
                    <a:pt x="83268" y="265374"/>
                    <a:pt x="92735" y="265374"/>
                  </a:cubicBezTo>
                  <a:close/>
                  <a:moveTo>
                    <a:pt x="29155" y="265374"/>
                  </a:moveTo>
                  <a:cubicBezTo>
                    <a:pt x="47151" y="265374"/>
                    <a:pt x="56150" y="278529"/>
                    <a:pt x="56150" y="304841"/>
                  </a:cubicBezTo>
                  <a:cubicBezTo>
                    <a:pt x="56150" y="317943"/>
                    <a:pt x="53693" y="327985"/>
                    <a:pt x="48780" y="334968"/>
                  </a:cubicBezTo>
                  <a:cubicBezTo>
                    <a:pt x="43867" y="341950"/>
                    <a:pt x="36821" y="345442"/>
                    <a:pt x="27643" y="345442"/>
                  </a:cubicBezTo>
                  <a:cubicBezTo>
                    <a:pt x="9214" y="345442"/>
                    <a:pt x="0" y="332502"/>
                    <a:pt x="0" y="306622"/>
                  </a:cubicBezTo>
                  <a:cubicBezTo>
                    <a:pt x="0" y="293197"/>
                    <a:pt x="2492" y="282966"/>
                    <a:pt x="7477" y="275929"/>
                  </a:cubicBezTo>
                  <a:cubicBezTo>
                    <a:pt x="12463" y="268892"/>
                    <a:pt x="19688" y="265374"/>
                    <a:pt x="29155" y="265374"/>
                  </a:cubicBezTo>
                  <a:close/>
                  <a:moveTo>
                    <a:pt x="219137" y="145698"/>
                  </a:moveTo>
                  <a:cubicBezTo>
                    <a:pt x="211758" y="145698"/>
                    <a:pt x="208069" y="154967"/>
                    <a:pt x="208069" y="173504"/>
                  </a:cubicBezTo>
                  <a:cubicBezTo>
                    <a:pt x="208069" y="190961"/>
                    <a:pt x="211686" y="199689"/>
                    <a:pt x="218921" y="199689"/>
                  </a:cubicBezTo>
                  <a:cubicBezTo>
                    <a:pt x="225976" y="199689"/>
                    <a:pt x="229503" y="190691"/>
                    <a:pt x="229503" y="172694"/>
                  </a:cubicBezTo>
                  <a:cubicBezTo>
                    <a:pt x="229503" y="154697"/>
                    <a:pt x="226048" y="145698"/>
                    <a:pt x="219137" y="145698"/>
                  </a:cubicBezTo>
                  <a:close/>
                  <a:moveTo>
                    <a:pt x="28399" y="145698"/>
                  </a:moveTo>
                  <a:cubicBezTo>
                    <a:pt x="21020" y="145698"/>
                    <a:pt x="17331" y="154967"/>
                    <a:pt x="17331" y="173504"/>
                  </a:cubicBezTo>
                  <a:cubicBezTo>
                    <a:pt x="17331" y="190961"/>
                    <a:pt x="20948" y="199689"/>
                    <a:pt x="28183" y="199689"/>
                  </a:cubicBezTo>
                  <a:cubicBezTo>
                    <a:pt x="35238" y="199689"/>
                    <a:pt x="38765" y="190691"/>
                    <a:pt x="38765" y="172694"/>
                  </a:cubicBezTo>
                  <a:cubicBezTo>
                    <a:pt x="38765" y="154697"/>
                    <a:pt x="35309" y="145698"/>
                    <a:pt x="28399" y="145698"/>
                  </a:cubicBezTo>
                  <a:close/>
                  <a:moveTo>
                    <a:pt x="219893" y="132687"/>
                  </a:moveTo>
                  <a:cubicBezTo>
                    <a:pt x="237890" y="132687"/>
                    <a:pt x="246888" y="145842"/>
                    <a:pt x="246888" y="172154"/>
                  </a:cubicBezTo>
                  <a:cubicBezTo>
                    <a:pt x="246888" y="185256"/>
                    <a:pt x="244432" y="195298"/>
                    <a:pt x="239519" y="202281"/>
                  </a:cubicBezTo>
                  <a:cubicBezTo>
                    <a:pt x="234605" y="209263"/>
                    <a:pt x="227560" y="212755"/>
                    <a:pt x="218381" y="212755"/>
                  </a:cubicBezTo>
                  <a:cubicBezTo>
                    <a:pt x="199953" y="212755"/>
                    <a:pt x="190738" y="199815"/>
                    <a:pt x="190738" y="173935"/>
                  </a:cubicBezTo>
                  <a:cubicBezTo>
                    <a:pt x="190738" y="160510"/>
                    <a:pt x="193231" y="150279"/>
                    <a:pt x="198216" y="143242"/>
                  </a:cubicBezTo>
                  <a:cubicBezTo>
                    <a:pt x="203201" y="136205"/>
                    <a:pt x="210427" y="132687"/>
                    <a:pt x="219893" y="132687"/>
                  </a:cubicBezTo>
                  <a:close/>
                  <a:moveTo>
                    <a:pt x="165600" y="132687"/>
                  </a:moveTo>
                  <a:lnTo>
                    <a:pt x="165600" y="197907"/>
                  </a:lnTo>
                  <a:lnTo>
                    <a:pt x="181527" y="197907"/>
                  </a:lnTo>
                  <a:lnTo>
                    <a:pt x="181527" y="211405"/>
                  </a:lnTo>
                  <a:lnTo>
                    <a:pt x="132558" y="211405"/>
                  </a:lnTo>
                  <a:lnTo>
                    <a:pt x="132558" y="197907"/>
                  </a:lnTo>
                  <a:lnTo>
                    <a:pt x="148593" y="197907"/>
                  </a:lnTo>
                  <a:lnTo>
                    <a:pt x="148593" y="149694"/>
                  </a:lnTo>
                  <a:lnTo>
                    <a:pt x="132126" y="153257"/>
                  </a:lnTo>
                  <a:lnTo>
                    <a:pt x="132126" y="139435"/>
                  </a:lnTo>
                  <a:close/>
                  <a:moveTo>
                    <a:pt x="102021" y="132687"/>
                  </a:moveTo>
                  <a:lnTo>
                    <a:pt x="102021" y="197907"/>
                  </a:lnTo>
                  <a:lnTo>
                    <a:pt x="117948" y="197907"/>
                  </a:lnTo>
                  <a:lnTo>
                    <a:pt x="117948" y="211405"/>
                  </a:lnTo>
                  <a:lnTo>
                    <a:pt x="68979" y="211405"/>
                  </a:lnTo>
                  <a:lnTo>
                    <a:pt x="68979" y="197907"/>
                  </a:lnTo>
                  <a:lnTo>
                    <a:pt x="85014" y="197907"/>
                  </a:lnTo>
                  <a:lnTo>
                    <a:pt x="85014" y="149694"/>
                  </a:lnTo>
                  <a:lnTo>
                    <a:pt x="68547" y="153257"/>
                  </a:lnTo>
                  <a:lnTo>
                    <a:pt x="68547" y="139435"/>
                  </a:lnTo>
                  <a:close/>
                  <a:moveTo>
                    <a:pt x="29155" y="132687"/>
                  </a:moveTo>
                  <a:cubicBezTo>
                    <a:pt x="47151" y="132687"/>
                    <a:pt x="56150" y="145842"/>
                    <a:pt x="56150" y="172154"/>
                  </a:cubicBezTo>
                  <a:cubicBezTo>
                    <a:pt x="56150" y="185256"/>
                    <a:pt x="53693" y="195298"/>
                    <a:pt x="48780" y="202281"/>
                  </a:cubicBezTo>
                  <a:cubicBezTo>
                    <a:pt x="43867" y="209263"/>
                    <a:pt x="36821" y="212755"/>
                    <a:pt x="27643" y="212755"/>
                  </a:cubicBezTo>
                  <a:cubicBezTo>
                    <a:pt x="9214" y="212755"/>
                    <a:pt x="0" y="199815"/>
                    <a:pt x="0" y="173935"/>
                  </a:cubicBezTo>
                  <a:cubicBezTo>
                    <a:pt x="0" y="160510"/>
                    <a:pt x="2492" y="150279"/>
                    <a:pt x="7477" y="143242"/>
                  </a:cubicBezTo>
                  <a:cubicBezTo>
                    <a:pt x="12463" y="136205"/>
                    <a:pt x="19688" y="132687"/>
                    <a:pt x="29155" y="132687"/>
                  </a:cubicBezTo>
                  <a:close/>
                  <a:moveTo>
                    <a:pt x="28399" y="13011"/>
                  </a:moveTo>
                  <a:cubicBezTo>
                    <a:pt x="21020" y="13011"/>
                    <a:pt x="17331" y="22280"/>
                    <a:pt x="17331" y="40817"/>
                  </a:cubicBezTo>
                  <a:cubicBezTo>
                    <a:pt x="17331" y="58274"/>
                    <a:pt x="20948" y="67002"/>
                    <a:pt x="28183" y="67002"/>
                  </a:cubicBezTo>
                  <a:cubicBezTo>
                    <a:pt x="35238" y="67002"/>
                    <a:pt x="38765" y="58004"/>
                    <a:pt x="38765" y="40007"/>
                  </a:cubicBezTo>
                  <a:cubicBezTo>
                    <a:pt x="38765" y="22010"/>
                    <a:pt x="35309" y="13011"/>
                    <a:pt x="28399" y="13011"/>
                  </a:cubicBezTo>
                  <a:close/>
                  <a:moveTo>
                    <a:pt x="102021" y="0"/>
                  </a:moveTo>
                  <a:lnTo>
                    <a:pt x="102021" y="65220"/>
                  </a:lnTo>
                  <a:lnTo>
                    <a:pt x="117948" y="65220"/>
                  </a:lnTo>
                  <a:lnTo>
                    <a:pt x="117948" y="78718"/>
                  </a:lnTo>
                  <a:lnTo>
                    <a:pt x="68979" y="78718"/>
                  </a:lnTo>
                  <a:lnTo>
                    <a:pt x="68979" y="65220"/>
                  </a:lnTo>
                  <a:lnTo>
                    <a:pt x="85014" y="65220"/>
                  </a:lnTo>
                  <a:lnTo>
                    <a:pt x="85014" y="17007"/>
                  </a:lnTo>
                  <a:lnTo>
                    <a:pt x="68547" y="20570"/>
                  </a:lnTo>
                  <a:lnTo>
                    <a:pt x="68547" y="6748"/>
                  </a:lnTo>
                  <a:close/>
                  <a:moveTo>
                    <a:pt x="29155" y="0"/>
                  </a:moveTo>
                  <a:cubicBezTo>
                    <a:pt x="47151" y="0"/>
                    <a:pt x="56150" y="13155"/>
                    <a:pt x="56150" y="39467"/>
                  </a:cubicBezTo>
                  <a:cubicBezTo>
                    <a:pt x="56150" y="52569"/>
                    <a:pt x="53693" y="62611"/>
                    <a:pt x="48780" y="69594"/>
                  </a:cubicBezTo>
                  <a:cubicBezTo>
                    <a:pt x="43867" y="76576"/>
                    <a:pt x="36821" y="80068"/>
                    <a:pt x="27643" y="80068"/>
                  </a:cubicBezTo>
                  <a:cubicBezTo>
                    <a:pt x="9214" y="80068"/>
                    <a:pt x="0" y="67128"/>
                    <a:pt x="0" y="41248"/>
                  </a:cubicBezTo>
                  <a:cubicBezTo>
                    <a:pt x="0" y="27823"/>
                    <a:pt x="2492" y="17592"/>
                    <a:pt x="7477" y="10555"/>
                  </a:cubicBezTo>
                  <a:cubicBezTo>
                    <a:pt x="12463" y="3518"/>
                    <a:pt x="19688" y="0"/>
                    <a:pt x="29155"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0" name="Полилиния 89">
              <a:extLst>
                <a:ext uri="{FF2B5EF4-FFF2-40B4-BE49-F238E27FC236}">
                  <a16:creationId xmlns:a16="http://schemas.microsoft.com/office/drawing/2014/main" id="{FEE2E91D-5A76-4865-A6E8-AED13478474A}"/>
                </a:ext>
              </a:extLst>
            </xdr:cNvPr>
            <xdr:cNvSpPr/>
          </xdr:nvSpPr>
          <xdr:spPr>
            <a:xfrm>
              <a:off x="7453766" y="5905642"/>
              <a:ext cx="49401" cy="78718"/>
            </a:xfrm>
            <a:custGeom>
              <a:avLst/>
              <a:gdLst>
                <a:gd name="connsiteX0" fmla="*/ 230683 w 340444"/>
                <a:gd name="connsiteY0" fmla="*/ 0 h 542479"/>
                <a:gd name="connsiteX1" fmla="*/ 230683 w 340444"/>
                <a:gd name="connsiteY1" fmla="*/ 449461 h 542479"/>
                <a:gd name="connsiteX2" fmla="*/ 340444 w 340444"/>
                <a:gd name="connsiteY2" fmla="*/ 449461 h 542479"/>
                <a:gd name="connsiteX3" fmla="*/ 340444 w 340444"/>
                <a:gd name="connsiteY3" fmla="*/ 542479 h 542479"/>
                <a:gd name="connsiteX4" fmla="*/ 2976 w 340444"/>
                <a:gd name="connsiteY4" fmla="*/ 542479 h 542479"/>
                <a:gd name="connsiteX5" fmla="*/ 2976 w 340444"/>
                <a:gd name="connsiteY5" fmla="*/ 449461 h 542479"/>
                <a:gd name="connsiteX6" fmla="*/ 113481 w 340444"/>
                <a:gd name="connsiteY6" fmla="*/ 449461 h 542479"/>
                <a:gd name="connsiteX7" fmla="*/ 113481 w 340444"/>
                <a:gd name="connsiteY7" fmla="*/ 117203 h 542479"/>
                <a:gd name="connsiteX8" fmla="*/ 0 w 340444"/>
                <a:gd name="connsiteY8" fmla="*/ 141759 h 542479"/>
                <a:gd name="connsiteX9" fmla="*/ 0 w 340444"/>
                <a:gd name="connsiteY9" fmla="*/ 46509 h 542479"/>
                <a:gd name="connsiteX10" fmla="*/ 230683 w 340444"/>
                <a:gd name="connsiteY10" fmla="*/ 0 h 5424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340444" h="542479">
                  <a:moveTo>
                    <a:pt x="230683" y="0"/>
                  </a:moveTo>
                  <a:lnTo>
                    <a:pt x="230683" y="449461"/>
                  </a:lnTo>
                  <a:lnTo>
                    <a:pt x="340444" y="449461"/>
                  </a:lnTo>
                  <a:lnTo>
                    <a:pt x="340444" y="542479"/>
                  </a:lnTo>
                  <a:lnTo>
                    <a:pt x="2976" y="542479"/>
                  </a:lnTo>
                  <a:lnTo>
                    <a:pt x="2976" y="449461"/>
                  </a:lnTo>
                  <a:lnTo>
                    <a:pt x="113481" y="449461"/>
                  </a:lnTo>
                  <a:lnTo>
                    <a:pt x="113481" y="117203"/>
                  </a:lnTo>
                  <a:lnTo>
                    <a:pt x="0" y="141759"/>
                  </a:lnTo>
                  <a:lnTo>
                    <a:pt x="0" y="46509"/>
                  </a:lnTo>
                  <a:lnTo>
                    <a:pt x="230683" y="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1" name="Полилиния 90">
              <a:extLst>
                <a:ext uri="{FF2B5EF4-FFF2-40B4-BE49-F238E27FC236}">
                  <a16:creationId xmlns:a16="http://schemas.microsoft.com/office/drawing/2014/main" id="{78BC59F3-28AF-4F97-B2E4-2DCA519E6920}"/>
                </a:ext>
              </a:extLst>
            </xdr:cNvPr>
            <xdr:cNvSpPr/>
          </xdr:nvSpPr>
          <xdr:spPr>
            <a:xfrm>
              <a:off x="7194469" y="5115484"/>
              <a:ext cx="682633" cy="366164"/>
            </a:xfrm>
            <a:custGeom>
              <a:avLst/>
              <a:gdLst>
                <a:gd name="connsiteX0" fmla="*/ 0 w 4704301"/>
                <a:gd name="connsiteY0" fmla="*/ 0 h 2523387"/>
                <a:gd name="connsiteX1" fmla="*/ 4704301 w 4704301"/>
                <a:gd name="connsiteY1" fmla="*/ 0 h 2523387"/>
                <a:gd name="connsiteX2" fmla="*/ 4704301 w 4704301"/>
                <a:gd name="connsiteY2" fmla="*/ 2523387 h 2523387"/>
                <a:gd name="connsiteX3" fmla="*/ 4275629 w 4704301"/>
                <a:gd name="connsiteY3" fmla="*/ 2523387 h 2523387"/>
                <a:gd name="connsiteX4" fmla="*/ 4275629 w 4704301"/>
                <a:gd name="connsiteY4" fmla="*/ 410955 h 2523387"/>
                <a:gd name="connsiteX5" fmla="*/ 428671 w 4704301"/>
                <a:gd name="connsiteY5" fmla="*/ 410955 h 2523387"/>
                <a:gd name="connsiteX6" fmla="*/ 428671 w 4704301"/>
                <a:gd name="connsiteY6" fmla="*/ 1296780 h 2523387"/>
                <a:gd name="connsiteX7" fmla="*/ 0 w 4704301"/>
                <a:gd name="connsiteY7" fmla="*/ 1296780 h 25233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704301" h="2523387">
                  <a:moveTo>
                    <a:pt x="0" y="0"/>
                  </a:moveTo>
                  <a:lnTo>
                    <a:pt x="4704301" y="0"/>
                  </a:lnTo>
                  <a:lnTo>
                    <a:pt x="4704301" y="2523387"/>
                  </a:lnTo>
                  <a:lnTo>
                    <a:pt x="4275629" y="2523387"/>
                  </a:lnTo>
                  <a:lnTo>
                    <a:pt x="4275629" y="410955"/>
                  </a:lnTo>
                  <a:lnTo>
                    <a:pt x="428671" y="410955"/>
                  </a:lnTo>
                  <a:lnTo>
                    <a:pt x="428671" y="1296780"/>
                  </a:lnTo>
                  <a:lnTo>
                    <a:pt x="0" y="129678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92" name="Группа 91">
              <a:extLst>
                <a:ext uri="{FF2B5EF4-FFF2-40B4-BE49-F238E27FC236}">
                  <a16:creationId xmlns:a16="http://schemas.microsoft.com/office/drawing/2014/main" id="{A2B609F3-CD7A-4E24-B6C4-E05646216D97}"/>
                </a:ext>
              </a:extLst>
            </xdr:cNvPr>
            <xdr:cNvGrpSpPr/>
          </xdr:nvGrpSpPr>
          <xdr:grpSpPr>
            <a:xfrm>
              <a:off x="7347735" y="5235474"/>
              <a:ext cx="423631" cy="160046"/>
              <a:chOff x="3152775" y="1377956"/>
              <a:chExt cx="2919413" cy="1102936"/>
            </a:xfrm>
            <a:grpFill/>
          </xdr:grpSpPr>
          <xdr:sp macro="" textlink="">
            <xdr:nvSpPr>
              <xdr:cNvPr id="93" name="Скругленный прямоугольник 92">
                <a:extLst>
                  <a:ext uri="{FF2B5EF4-FFF2-40B4-BE49-F238E27FC236}">
                    <a16:creationId xmlns:a16="http://schemas.microsoft.com/office/drawing/2014/main" id="{61A9E080-856F-48A2-B0A7-FC216A353059}"/>
                  </a:ext>
                </a:extLst>
              </xdr:cNvPr>
              <xdr:cNvSpPr/>
            </xdr:nvSpPr>
            <xdr:spPr>
              <a:xfrm>
                <a:off x="3152775" y="1377956"/>
                <a:ext cx="2919413"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4" name="Скругленный прямоугольник 93">
                <a:extLst>
                  <a:ext uri="{FF2B5EF4-FFF2-40B4-BE49-F238E27FC236}">
                    <a16:creationId xmlns:a16="http://schemas.microsoft.com/office/drawing/2014/main" id="{15CA537F-468A-4B37-B091-8CCDFAB43058}"/>
                  </a:ext>
                </a:extLst>
              </xdr:cNvPr>
              <xdr:cNvSpPr/>
            </xdr:nvSpPr>
            <xdr:spPr>
              <a:xfrm>
                <a:off x="4496631" y="2155737"/>
                <a:ext cx="1575557"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xnSp macro="">
        <xdr:nvCxnSpPr>
          <xdr:cNvPr id="81" name="Соединитель: уступ 45">
            <a:extLst>
              <a:ext uri="{FF2B5EF4-FFF2-40B4-BE49-F238E27FC236}">
                <a16:creationId xmlns:a16="http://schemas.microsoft.com/office/drawing/2014/main" id="{34AB0ED4-BC13-4C1C-BB71-5E761FDED62B}"/>
              </a:ext>
            </a:extLst>
          </xdr:cNvPr>
          <xdr:cNvCxnSpPr>
            <a:cxnSpLocks/>
            <a:endCxn id="78" idx="3"/>
          </xdr:cNvCxnSpPr>
        </xdr:nvCxnSpPr>
        <xdr:spPr>
          <a:xfrm rot="16200000" flipV="1">
            <a:off x="5786529" y="3287177"/>
            <a:ext cx="455856" cy="389124"/>
          </a:xfrm>
          <a:prstGeom prst="bentConnector2">
            <a:avLst/>
          </a:prstGeom>
          <a:ln>
            <a:solidFill>
              <a:schemeClr val="bg1">
                <a:lumMod val="75000"/>
              </a:schemeClr>
            </a:solidFill>
            <a:headEnd type="none"/>
            <a:tailEnd type="oval"/>
          </a:ln>
        </xdr:spPr>
        <xdr:style>
          <a:lnRef idx="1">
            <a:schemeClr val="accent1"/>
          </a:lnRef>
          <a:fillRef idx="0">
            <a:schemeClr val="accent1"/>
          </a:fillRef>
          <a:effectRef idx="0">
            <a:schemeClr val="accent1"/>
          </a:effectRef>
          <a:fontRef idx="minor">
            <a:schemeClr val="tx1"/>
          </a:fontRef>
        </xdr:style>
      </xdr:cxnSp>
      <xdr:cxnSp macro="">
        <xdr:nvCxnSpPr>
          <xdr:cNvPr id="82" name="Прямая соединительная линия 81">
            <a:extLst>
              <a:ext uri="{FF2B5EF4-FFF2-40B4-BE49-F238E27FC236}">
                <a16:creationId xmlns:a16="http://schemas.microsoft.com/office/drawing/2014/main" id="{BC581F1B-B01D-4F42-A0EC-1F6048ECF070}"/>
              </a:ext>
            </a:extLst>
          </xdr:cNvPr>
          <xdr:cNvCxnSpPr>
            <a:cxnSpLocks/>
          </xdr:cNvCxnSpPr>
        </xdr:nvCxnSpPr>
        <xdr:spPr>
          <a:xfrm>
            <a:off x="5819895" y="2952341"/>
            <a:ext cx="0" cy="60294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386072</xdr:colOff>
      <xdr:row>25</xdr:row>
      <xdr:rowOff>83049</xdr:rowOff>
    </xdr:from>
    <xdr:to>
      <xdr:col>12</xdr:col>
      <xdr:colOff>223502</xdr:colOff>
      <xdr:row>34</xdr:row>
      <xdr:rowOff>115872</xdr:rowOff>
    </xdr:to>
    <xdr:grpSp>
      <xdr:nvGrpSpPr>
        <xdr:cNvPr id="32" name="Группа 31">
          <a:extLst>
            <a:ext uri="{FF2B5EF4-FFF2-40B4-BE49-F238E27FC236}">
              <a16:creationId xmlns:a16="http://schemas.microsoft.com/office/drawing/2014/main" id="{2963F561-B532-497C-BA56-EC88153E9538}"/>
            </a:ext>
          </a:extLst>
        </xdr:cNvPr>
        <xdr:cNvGrpSpPr/>
      </xdr:nvGrpSpPr>
      <xdr:grpSpPr>
        <a:xfrm>
          <a:off x="2201425" y="5170520"/>
          <a:ext cx="5283489" cy="1747323"/>
          <a:chOff x="2256827" y="3863845"/>
          <a:chExt cx="5323830" cy="1678743"/>
        </a:xfrm>
      </xdr:grpSpPr>
      <xdr:sp macro="" textlink="">
        <xdr:nvSpPr>
          <xdr:cNvPr id="57" name="Параллелограмм 56">
            <a:extLst>
              <a:ext uri="{FF2B5EF4-FFF2-40B4-BE49-F238E27FC236}">
                <a16:creationId xmlns:a16="http://schemas.microsoft.com/office/drawing/2014/main" id="{0ACF7B1D-D077-4A09-AD16-A9EFB54A39BC}"/>
              </a:ext>
            </a:extLst>
          </xdr:cNvPr>
          <xdr:cNvSpPr/>
        </xdr:nvSpPr>
        <xdr:spPr bwMode="auto">
          <a:xfrm flipH="1">
            <a:off x="4752810" y="5152063"/>
            <a:ext cx="417513" cy="390525"/>
          </a:xfrm>
          <a:prstGeom prst="parallelogram">
            <a:avLst/>
          </a:prstGeom>
          <a:solidFill>
            <a:srgbClr val="3E517B"/>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58" name="Прямоугольник: скругленные углы 61">
            <a:extLst>
              <a:ext uri="{FF2B5EF4-FFF2-40B4-BE49-F238E27FC236}">
                <a16:creationId xmlns:a16="http://schemas.microsoft.com/office/drawing/2014/main" id="{FD770154-D5C3-4E71-BAB2-43EA5B4C8A4F}"/>
              </a:ext>
            </a:extLst>
          </xdr:cNvPr>
          <xdr:cNvSpPr/>
        </xdr:nvSpPr>
        <xdr:spPr bwMode="auto">
          <a:xfrm>
            <a:off x="4751222" y="4520559"/>
            <a:ext cx="2263775" cy="731520"/>
          </a:xfrm>
          <a:prstGeom prst="roundRect">
            <a:avLst/>
          </a:prstGeom>
          <a:solidFill>
            <a:srgbClr val="4383DD"/>
          </a:solidFill>
          <a:ln w="19050">
            <a:solidFill>
              <a:schemeClr val="bg1"/>
            </a:solid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Написать</a:t>
            </a:r>
          </a:p>
          <a:p>
            <a:pPr algn="ctr"/>
            <a:r>
              <a:rPr lang="en-US"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Dockerfiles</a:t>
            </a:r>
          </a:p>
        </xdr:txBody>
      </xdr:sp>
      <xdr:sp macro="" textlink="">
        <xdr:nvSpPr>
          <xdr:cNvPr id="59" name="Прямоугольник 58">
            <a:extLst>
              <a:ext uri="{FF2B5EF4-FFF2-40B4-BE49-F238E27FC236}">
                <a16:creationId xmlns:a16="http://schemas.microsoft.com/office/drawing/2014/main" id="{A91B1187-C431-4BA9-82EC-779617B54793}"/>
              </a:ext>
            </a:extLst>
          </xdr:cNvPr>
          <xdr:cNvSpPr/>
        </xdr:nvSpPr>
        <xdr:spPr bwMode="auto">
          <a:xfrm>
            <a:off x="2256827" y="3863845"/>
            <a:ext cx="2105599" cy="602940"/>
          </a:xfrm>
          <a:prstGeom prst="rect">
            <a:avLst/>
          </a:prstGeom>
          <a:noFill/>
          <a:ln>
            <a:noFill/>
          </a:ln>
        </xdr:spPr>
        <xdr:txBody>
          <a:bodyPr wrap="square" lIns="0" tIns="0" rIns="9144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latin typeface="Segoe UI"/>
              </a:rPr>
              <a:t>Подготовка «описания» образов контейнеров</a:t>
            </a:r>
            <a:endParaRPr kumimoji="0" lang="en-US" sz="1200" b="0" i="0" u="none" strike="noStrike" kern="0" cap="none" spc="0" normalizeH="0" baseline="0">
              <a:ln>
                <a:noFill/>
              </a:ln>
              <a:solidFill>
                <a:srgbClr val="001031"/>
              </a:solidFill>
              <a:effectLst/>
              <a:uLnTx/>
              <a:uFillTx/>
              <a:latin typeface="Segoe UI"/>
            </a:endParaRPr>
          </a:p>
        </xdr:txBody>
      </xdr:sp>
      <xdr:sp macro="" textlink="">
        <xdr:nvSpPr>
          <xdr:cNvPr id="60" name="TextBox 63">
            <a:extLst>
              <a:ext uri="{FF2B5EF4-FFF2-40B4-BE49-F238E27FC236}">
                <a16:creationId xmlns:a16="http://schemas.microsoft.com/office/drawing/2014/main" id="{40DB3B6F-4317-40D2-B965-A83E85C54396}"/>
              </a:ext>
            </a:extLst>
          </xdr:cNvPr>
          <xdr:cNvSpPr txBox="1"/>
        </xdr:nvSpPr>
        <xdr:spPr>
          <a:xfrm>
            <a:off x="4861293" y="4283603"/>
            <a:ext cx="1055412" cy="236956"/>
          </a:xfrm>
          <a:prstGeom prst="rect">
            <a:avLst/>
          </a:prstGeom>
          <a:no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b="1">
                <a:solidFill>
                  <a:srgbClr val="4383DD"/>
                </a:solidFill>
                <a:latin typeface="Segoe UI" panose="020B0502040204020203" pitchFamily="34" charset="0"/>
                <a:ea typeface="Segoe UI" panose="020B0502040204020203" pitchFamily="34" charset="0"/>
                <a:cs typeface="Segoe UI" panose="020B0502040204020203" pitchFamily="34" charset="0"/>
              </a:rPr>
              <a:t>Шаг </a:t>
            </a:r>
            <a:r>
              <a:rPr lang="en-US" sz="1400" b="1">
                <a:solidFill>
                  <a:srgbClr val="4383DD"/>
                </a:solidFill>
                <a:latin typeface="Segoe UI" panose="020B0502040204020203" pitchFamily="34" charset="0"/>
                <a:ea typeface="Segoe UI" panose="020B0502040204020203" pitchFamily="34" charset="0"/>
                <a:cs typeface="Segoe UI" panose="020B0502040204020203" pitchFamily="34" charset="0"/>
              </a:rPr>
              <a:t>#</a:t>
            </a:r>
            <a:r>
              <a:rPr lang="ru-RU" sz="1400" b="1">
                <a:solidFill>
                  <a:srgbClr val="4383DD"/>
                </a:solidFill>
                <a:latin typeface="Segoe UI" panose="020B0502040204020203" pitchFamily="34" charset="0"/>
                <a:ea typeface="Segoe UI" panose="020B0502040204020203" pitchFamily="34" charset="0"/>
                <a:cs typeface="Segoe UI" panose="020B0502040204020203" pitchFamily="34" charset="0"/>
              </a:rPr>
              <a:t>2</a:t>
            </a:r>
            <a:endParaRPr lang="en-US" sz="1400" b="1">
              <a:solidFill>
                <a:srgbClr val="4383DD"/>
              </a:solidFill>
              <a:latin typeface="Segoe UI" panose="020B0502040204020203" pitchFamily="34" charset="0"/>
              <a:ea typeface="Segoe UI" panose="020B0502040204020203" pitchFamily="34" charset="0"/>
              <a:cs typeface="Segoe UI" panose="020B0502040204020203" pitchFamily="34" charset="0"/>
            </a:endParaRPr>
          </a:p>
        </xdr:txBody>
      </xdr:sp>
      <xdr:grpSp>
        <xdr:nvGrpSpPr>
          <xdr:cNvPr id="61" name="Группа 60">
            <a:extLst>
              <a:ext uri="{FF2B5EF4-FFF2-40B4-BE49-F238E27FC236}">
                <a16:creationId xmlns:a16="http://schemas.microsoft.com/office/drawing/2014/main" id="{60B48B29-6849-4126-BE1A-6FA037672695}"/>
              </a:ext>
            </a:extLst>
          </xdr:cNvPr>
          <xdr:cNvGrpSpPr>
            <a:grpSpLocks noChangeAspect="1"/>
          </xdr:cNvGrpSpPr>
        </xdr:nvGrpSpPr>
        <xdr:grpSpPr>
          <a:xfrm>
            <a:off x="7133531" y="4602629"/>
            <a:ext cx="447126" cy="567382"/>
            <a:chOff x="7194469" y="5115484"/>
            <a:chExt cx="685782" cy="870226"/>
          </a:xfrm>
          <a:solidFill>
            <a:srgbClr val="0033CC"/>
          </a:solidFill>
        </xdr:grpSpPr>
        <xdr:sp macro="" textlink="">
          <xdr:nvSpPr>
            <xdr:cNvPr id="64" name="Полилиния 63">
              <a:extLst>
                <a:ext uri="{FF2B5EF4-FFF2-40B4-BE49-F238E27FC236}">
                  <a16:creationId xmlns:a16="http://schemas.microsoft.com/office/drawing/2014/main" id="{4D2DC801-3E80-4B8E-8A85-6617326D62C2}"/>
                </a:ext>
              </a:extLst>
            </xdr:cNvPr>
            <xdr:cNvSpPr/>
          </xdr:nvSpPr>
          <xdr:spPr>
            <a:xfrm rot="18488263" flipV="1">
              <a:off x="7386075" y="5465009"/>
              <a:ext cx="136173" cy="13617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5" name="Полилиния 64">
              <a:extLst>
                <a:ext uri="{FF2B5EF4-FFF2-40B4-BE49-F238E27FC236}">
                  <a16:creationId xmlns:a16="http://schemas.microsoft.com/office/drawing/2014/main" id="{B1D29A05-6872-4BB7-B8A0-39761BAF4C86}"/>
                </a:ext>
              </a:extLst>
            </xdr:cNvPr>
            <xdr:cNvSpPr/>
          </xdr:nvSpPr>
          <xdr:spPr>
            <a:xfrm rot="18394870" flipV="1">
              <a:off x="7234632" y="5288687"/>
              <a:ext cx="201330" cy="201330"/>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6" name="Полилиния 65">
              <a:extLst>
                <a:ext uri="{FF2B5EF4-FFF2-40B4-BE49-F238E27FC236}">
                  <a16:creationId xmlns:a16="http://schemas.microsoft.com/office/drawing/2014/main" id="{B70B63B6-BC4F-434F-BDF3-355E41301428}"/>
                </a:ext>
              </a:extLst>
            </xdr:cNvPr>
            <xdr:cNvSpPr/>
          </xdr:nvSpPr>
          <xdr:spPr>
            <a:xfrm rot="18590369" flipV="1">
              <a:off x="7597139" y="5451452"/>
              <a:ext cx="260692" cy="305533"/>
            </a:xfrm>
            <a:custGeom>
              <a:avLst/>
              <a:gdLst>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35071 w 1796535"/>
                <a:gd name="connsiteY25" fmla="*/ 599465 h 2105550"/>
                <a:gd name="connsiteX26" fmla="*/ 743761 w 1796535"/>
                <a:gd name="connsiteY26" fmla="*/ 598632 h 2105550"/>
                <a:gd name="connsiteX27" fmla="*/ 1064888 w 1796535"/>
                <a:gd name="connsiteY27" fmla="*/ 731647 h 2105550"/>
                <a:gd name="connsiteX28" fmla="*/ 1064888 w 1796535"/>
                <a:gd name="connsiteY28" fmla="*/ 1373903 h 2105550"/>
                <a:gd name="connsiteX29" fmla="*/ 493876 w 1796535"/>
                <a:gd name="connsiteY29" fmla="*/ 1432097 h 2105550"/>
                <a:gd name="connsiteX30" fmla="*/ 484968 w 1796535"/>
                <a:gd name="connsiteY30" fmla="*/ 1424821 h 2105550"/>
                <a:gd name="connsiteX31" fmla="*/ 184804 w 1796535"/>
                <a:gd name="connsiteY31" fmla="*/ 1740103 h 2105550"/>
                <a:gd name="connsiteX32" fmla="*/ 0 w 1796535"/>
                <a:gd name="connsiteY32" fmla="*/ 1744642 h 2105550"/>
                <a:gd name="connsiteX33" fmla="*/ 149989 w 1796535"/>
                <a:gd name="connsiteY33" fmla="*/ 1894631 h 2105550"/>
                <a:gd name="connsiteX34" fmla="*/ 226808 w 1796535"/>
                <a:gd name="connsiteY34" fmla="*/ 1894631 h 2105550"/>
                <a:gd name="connsiteX35" fmla="*/ 344262 w 1796535"/>
                <a:gd name="connsiteY35" fmla="*/ 1777177 h 2105550"/>
                <a:gd name="connsiteX36" fmla="*/ 358637 w 1796535"/>
                <a:gd name="connsiteY36" fmla="*/ 1786168 h 2105550"/>
                <a:gd name="connsiteX37" fmla="*/ 497123 w 1796535"/>
                <a:gd name="connsiteY37" fmla="*/ 1840452 h 2105550"/>
                <a:gd name="connsiteX38" fmla="*/ 497123 w 1796535"/>
                <a:gd name="connsiteY38" fmla="*/ 2051230 h 2105550"/>
                <a:gd name="connsiteX39" fmla="*/ 551443 w 1796535"/>
                <a:gd name="connsiteY39" fmla="*/ 2105550 h 2105550"/>
                <a:gd name="connsiteX40" fmla="*/ 902287 w 1796535"/>
                <a:gd name="connsiteY40" fmla="*/ 2105550 h 2105550"/>
                <a:gd name="connsiteX41" fmla="*/ 956607 w 1796535"/>
                <a:gd name="connsiteY41" fmla="*/ 2051230 h 2105550"/>
                <a:gd name="connsiteX42" fmla="*/ 956607 w 1796535"/>
                <a:gd name="connsiteY42" fmla="*/ 1848264 h 2105550"/>
                <a:gd name="connsiteX43" fmla="*/ 1055390 w 1796535"/>
                <a:gd name="connsiteY43" fmla="*/ 1820279 h 2105550"/>
                <a:gd name="connsiteX44" fmla="*/ 1141203 w 1796535"/>
                <a:gd name="connsiteY44" fmla="*/ 1775122 h 2105550"/>
                <a:gd name="connsiteX45" fmla="*/ 1290937 w 1796535"/>
                <a:gd name="connsiteY45" fmla="*/ 1924853 h 2105550"/>
                <a:gd name="connsiteX46" fmla="*/ 1367757 w 1796535"/>
                <a:gd name="connsiteY46" fmla="*/ 1924853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43761 w 1796535"/>
                <a:gd name="connsiteY25" fmla="*/ 598632 h 2105550"/>
                <a:gd name="connsiteX26" fmla="*/ 1064888 w 1796535"/>
                <a:gd name="connsiteY26" fmla="*/ 731647 h 2105550"/>
                <a:gd name="connsiteX27" fmla="*/ 1064888 w 1796535"/>
                <a:gd name="connsiteY27" fmla="*/ 1373903 h 2105550"/>
                <a:gd name="connsiteX28" fmla="*/ 493876 w 1796535"/>
                <a:gd name="connsiteY28" fmla="*/ 1432097 h 2105550"/>
                <a:gd name="connsiteX29" fmla="*/ 484968 w 1796535"/>
                <a:gd name="connsiteY29" fmla="*/ 1424821 h 2105550"/>
                <a:gd name="connsiteX30" fmla="*/ 184804 w 1796535"/>
                <a:gd name="connsiteY30" fmla="*/ 1740103 h 2105550"/>
                <a:gd name="connsiteX31" fmla="*/ 0 w 1796535"/>
                <a:gd name="connsiteY31" fmla="*/ 1744642 h 2105550"/>
                <a:gd name="connsiteX32" fmla="*/ 149989 w 1796535"/>
                <a:gd name="connsiteY32" fmla="*/ 1894631 h 2105550"/>
                <a:gd name="connsiteX33" fmla="*/ 226808 w 1796535"/>
                <a:gd name="connsiteY33" fmla="*/ 1894631 h 2105550"/>
                <a:gd name="connsiteX34" fmla="*/ 344262 w 1796535"/>
                <a:gd name="connsiteY34" fmla="*/ 1777177 h 2105550"/>
                <a:gd name="connsiteX35" fmla="*/ 358637 w 1796535"/>
                <a:gd name="connsiteY35" fmla="*/ 1786168 h 2105550"/>
                <a:gd name="connsiteX36" fmla="*/ 497123 w 1796535"/>
                <a:gd name="connsiteY36" fmla="*/ 1840452 h 2105550"/>
                <a:gd name="connsiteX37" fmla="*/ 497123 w 1796535"/>
                <a:gd name="connsiteY37" fmla="*/ 2051230 h 2105550"/>
                <a:gd name="connsiteX38" fmla="*/ 551443 w 1796535"/>
                <a:gd name="connsiteY38" fmla="*/ 2105550 h 2105550"/>
                <a:gd name="connsiteX39" fmla="*/ 902287 w 1796535"/>
                <a:gd name="connsiteY39" fmla="*/ 2105550 h 2105550"/>
                <a:gd name="connsiteX40" fmla="*/ 956607 w 1796535"/>
                <a:gd name="connsiteY40" fmla="*/ 2051230 h 2105550"/>
                <a:gd name="connsiteX41" fmla="*/ 956607 w 1796535"/>
                <a:gd name="connsiteY41" fmla="*/ 1848264 h 2105550"/>
                <a:gd name="connsiteX42" fmla="*/ 1055390 w 1796535"/>
                <a:gd name="connsiteY42" fmla="*/ 1820279 h 2105550"/>
                <a:gd name="connsiteX43" fmla="*/ 1141203 w 1796535"/>
                <a:gd name="connsiteY43" fmla="*/ 1775122 h 2105550"/>
                <a:gd name="connsiteX44" fmla="*/ 1290937 w 1796535"/>
                <a:gd name="connsiteY44" fmla="*/ 1924853 h 2105550"/>
                <a:gd name="connsiteX45" fmla="*/ 1367757 w 1796535"/>
                <a:gd name="connsiteY45" fmla="*/ 1924853 h 2105550"/>
                <a:gd name="connsiteX46" fmla="*/ 1615840 w 1796535"/>
                <a:gd name="connsiteY46" fmla="*/ 1676769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43761 w 1796535"/>
                <a:gd name="connsiteY24" fmla="*/ 598632 h 2105550"/>
                <a:gd name="connsiteX25" fmla="*/ 1064888 w 1796535"/>
                <a:gd name="connsiteY25" fmla="*/ 731647 h 2105550"/>
                <a:gd name="connsiteX26" fmla="*/ 1064888 w 1796535"/>
                <a:gd name="connsiteY26" fmla="*/ 1373903 h 2105550"/>
                <a:gd name="connsiteX27" fmla="*/ 493876 w 1796535"/>
                <a:gd name="connsiteY27" fmla="*/ 1432097 h 2105550"/>
                <a:gd name="connsiteX28" fmla="*/ 484968 w 1796535"/>
                <a:gd name="connsiteY28" fmla="*/ 1424821 h 2105550"/>
                <a:gd name="connsiteX29" fmla="*/ 184804 w 1796535"/>
                <a:gd name="connsiteY29" fmla="*/ 1740103 h 2105550"/>
                <a:gd name="connsiteX30" fmla="*/ 0 w 1796535"/>
                <a:gd name="connsiteY30" fmla="*/ 1744642 h 2105550"/>
                <a:gd name="connsiteX31" fmla="*/ 149989 w 1796535"/>
                <a:gd name="connsiteY31" fmla="*/ 1894631 h 2105550"/>
                <a:gd name="connsiteX32" fmla="*/ 226808 w 1796535"/>
                <a:gd name="connsiteY32" fmla="*/ 1894631 h 2105550"/>
                <a:gd name="connsiteX33" fmla="*/ 344262 w 1796535"/>
                <a:gd name="connsiteY33" fmla="*/ 1777177 h 2105550"/>
                <a:gd name="connsiteX34" fmla="*/ 358637 w 1796535"/>
                <a:gd name="connsiteY34" fmla="*/ 1786168 h 2105550"/>
                <a:gd name="connsiteX35" fmla="*/ 497123 w 1796535"/>
                <a:gd name="connsiteY35" fmla="*/ 1840452 h 2105550"/>
                <a:gd name="connsiteX36" fmla="*/ 497123 w 1796535"/>
                <a:gd name="connsiteY36" fmla="*/ 2051230 h 2105550"/>
                <a:gd name="connsiteX37" fmla="*/ 551443 w 1796535"/>
                <a:gd name="connsiteY37" fmla="*/ 2105550 h 2105550"/>
                <a:gd name="connsiteX38" fmla="*/ 902287 w 1796535"/>
                <a:gd name="connsiteY38" fmla="*/ 2105550 h 2105550"/>
                <a:gd name="connsiteX39" fmla="*/ 956607 w 1796535"/>
                <a:gd name="connsiteY39" fmla="*/ 2051230 h 2105550"/>
                <a:gd name="connsiteX40" fmla="*/ 956607 w 1796535"/>
                <a:gd name="connsiteY40" fmla="*/ 1848264 h 2105550"/>
                <a:gd name="connsiteX41" fmla="*/ 1055390 w 1796535"/>
                <a:gd name="connsiteY41" fmla="*/ 1820279 h 2105550"/>
                <a:gd name="connsiteX42" fmla="*/ 1141203 w 1796535"/>
                <a:gd name="connsiteY42" fmla="*/ 1775122 h 2105550"/>
                <a:gd name="connsiteX43" fmla="*/ 1290937 w 1796535"/>
                <a:gd name="connsiteY43" fmla="*/ 1924853 h 2105550"/>
                <a:gd name="connsiteX44" fmla="*/ 1367757 w 1796535"/>
                <a:gd name="connsiteY44" fmla="*/ 1924853 h 2105550"/>
                <a:gd name="connsiteX45" fmla="*/ 1615840 w 1796535"/>
                <a:gd name="connsiteY45" fmla="*/ 1676769 h 21055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1796535" h="2105550">
                  <a:moveTo>
                    <a:pt x="1615840" y="1676769"/>
                  </a:moveTo>
                  <a:cubicBezTo>
                    <a:pt x="1615840" y="1651162"/>
                    <a:pt x="1615841" y="1625556"/>
                    <a:pt x="1615841" y="1599949"/>
                  </a:cubicBezTo>
                  <a:lnTo>
                    <a:pt x="1466107" y="1450218"/>
                  </a:lnTo>
                  <a:lnTo>
                    <a:pt x="1511264" y="1364405"/>
                  </a:lnTo>
                  <a:lnTo>
                    <a:pt x="1539250" y="1265620"/>
                  </a:lnTo>
                  <a:lnTo>
                    <a:pt x="1742215" y="1265620"/>
                  </a:lnTo>
                  <a:lnTo>
                    <a:pt x="1796535" y="1211299"/>
                  </a:lnTo>
                  <a:lnTo>
                    <a:pt x="1796535" y="860456"/>
                  </a:lnTo>
                  <a:lnTo>
                    <a:pt x="1742215" y="806138"/>
                  </a:lnTo>
                  <a:lnTo>
                    <a:pt x="1531437" y="806136"/>
                  </a:lnTo>
                  <a:lnTo>
                    <a:pt x="1477153" y="667652"/>
                  </a:lnTo>
                  <a:lnTo>
                    <a:pt x="1468165" y="653277"/>
                  </a:lnTo>
                  <a:lnTo>
                    <a:pt x="1585616" y="535823"/>
                  </a:lnTo>
                  <a:lnTo>
                    <a:pt x="1585616" y="459003"/>
                  </a:lnTo>
                  <a:lnTo>
                    <a:pt x="1337531" y="210919"/>
                  </a:lnTo>
                  <a:lnTo>
                    <a:pt x="1260712" y="210920"/>
                  </a:lnTo>
                  <a:lnTo>
                    <a:pt x="1141203" y="330428"/>
                  </a:lnTo>
                  <a:lnTo>
                    <a:pt x="1055390" y="285274"/>
                  </a:lnTo>
                  <a:lnTo>
                    <a:pt x="990399" y="266011"/>
                  </a:lnTo>
                  <a:lnTo>
                    <a:pt x="990399" y="54320"/>
                  </a:lnTo>
                  <a:lnTo>
                    <a:pt x="936079" y="0"/>
                  </a:lnTo>
                  <a:lnTo>
                    <a:pt x="585235" y="0"/>
                  </a:lnTo>
                  <a:lnTo>
                    <a:pt x="565925" y="19311"/>
                  </a:lnTo>
                  <a:lnTo>
                    <a:pt x="680472" y="97613"/>
                  </a:lnTo>
                  <a:lnTo>
                    <a:pt x="743761" y="598632"/>
                  </a:lnTo>
                  <a:cubicBezTo>
                    <a:pt x="859986" y="598632"/>
                    <a:pt x="976211" y="642970"/>
                    <a:pt x="1064888" y="731647"/>
                  </a:cubicBezTo>
                  <a:cubicBezTo>
                    <a:pt x="1242244" y="909001"/>
                    <a:pt x="1242244" y="1196549"/>
                    <a:pt x="1064888" y="1373903"/>
                  </a:cubicBezTo>
                  <a:cubicBezTo>
                    <a:pt x="909704" y="1529087"/>
                    <a:pt x="670153" y="1548485"/>
                    <a:pt x="493876" y="1432097"/>
                  </a:cubicBezTo>
                  <a:lnTo>
                    <a:pt x="484968" y="1424821"/>
                  </a:lnTo>
                  <a:lnTo>
                    <a:pt x="184804" y="1740103"/>
                  </a:lnTo>
                  <a:lnTo>
                    <a:pt x="0" y="1744642"/>
                  </a:lnTo>
                  <a:lnTo>
                    <a:pt x="149989" y="1894631"/>
                  </a:lnTo>
                  <a:lnTo>
                    <a:pt x="226808" y="1894631"/>
                  </a:lnTo>
                  <a:lnTo>
                    <a:pt x="344262" y="1777177"/>
                  </a:lnTo>
                  <a:lnTo>
                    <a:pt x="358637" y="1786168"/>
                  </a:lnTo>
                  <a:lnTo>
                    <a:pt x="497123" y="1840452"/>
                  </a:lnTo>
                  <a:lnTo>
                    <a:pt x="497123" y="2051230"/>
                  </a:lnTo>
                  <a:lnTo>
                    <a:pt x="551443" y="2105550"/>
                  </a:lnTo>
                  <a:lnTo>
                    <a:pt x="902287" y="2105550"/>
                  </a:lnTo>
                  <a:lnTo>
                    <a:pt x="956607" y="2051230"/>
                  </a:lnTo>
                  <a:lnTo>
                    <a:pt x="956607" y="1848264"/>
                  </a:lnTo>
                  <a:lnTo>
                    <a:pt x="1055390" y="1820279"/>
                  </a:lnTo>
                  <a:lnTo>
                    <a:pt x="1141203" y="1775122"/>
                  </a:lnTo>
                  <a:lnTo>
                    <a:pt x="1290937" y="1924853"/>
                  </a:lnTo>
                  <a:lnTo>
                    <a:pt x="1367757" y="1924853"/>
                  </a:lnTo>
                  <a:lnTo>
                    <a:pt x="1615840" y="1676769"/>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7" name="Полилиния 66">
              <a:extLst>
                <a:ext uri="{FF2B5EF4-FFF2-40B4-BE49-F238E27FC236}">
                  <a16:creationId xmlns:a16="http://schemas.microsoft.com/office/drawing/2014/main" id="{BBCF830A-69DC-4F95-89EE-C6175D4568FE}"/>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8" name="Полилиния 67">
              <a:extLst>
                <a:ext uri="{FF2B5EF4-FFF2-40B4-BE49-F238E27FC236}">
                  <a16:creationId xmlns:a16="http://schemas.microsoft.com/office/drawing/2014/main" id="{35EF2796-5169-426E-9A7C-849E2A68925F}"/>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9" name="Полилиния 68">
              <a:extLst>
                <a:ext uri="{FF2B5EF4-FFF2-40B4-BE49-F238E27FC236}">
                  <a16:creationId xmlns:a16="http://schemas.microsoft.com/office/drawing/2014/main" id="{F1433431-D083-40A7-A0AA-11134409AE16}"/>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0" name="Полилиния 69">
              <a:extLst>
                <a:ext uri="{FF2B5EF4-FFF2-40B4-BE49-F238E27FC236}">
                  <a16:creationId xmlns:a16="http://schemas.microsoft.com/office/drawing/2014/main" id="{F828A2E8-BA94-4AF3-8810-34378739576D}"/>
                </a:ext>
              </a:extLst>
            </xdr:cNvPr>
            <xdr:cNvSpPr/>
          </xdr:nvSpPr>
          <xdr:spPr>
            <a:xfrm>
              <a:off x="7194482" y="5507581"/>
              <a:ext cx="246888" cy="478129"/>
            </a:xfrm>
            <a:custGeom>
              <a:avLst/>
              <a:gdLst>
                <a:gd name="connsiteX0" fmla="*/ 219137 w 246888"/>
                <a:gd name="connsiteY0" fmla="*/ 411073 h 478129"/>
                <a:gd name="connsiteX1" fmla="*/ 208069 w 246888"/>
                <a:gd name="connsiteY1" fmla="*/ 438878 h 478129"/>
                <a:gd name="connsiteX2" fmla="*/ 218921 w 246888"/>
                <a:gd name="connsiteY2" fmla="*/ 465064 h 478129"/>
                <a:gd name="connsiteX3" fmla="*/ 229503 w 246888"/>
                <a:gd name="connsiteY3" fmla="*/ 438068 h 478129"/>
                <a:gd name="connsiteX4" fmla="*/ 219137 w 246888"/>
                <a:gd name="connsiteY4" fmla="*/ 411073 h 478129"/>
                <a:gd name="connsiteX5" fmla="*/ 28399 w 246888"/>
                <a:gd name="connsiteY5" fmla="*/ 411073 h 478129"/>
                <a:gd name="connsiteX6" fmla="*/ 17331 w 246888"/>
                <a:gd name="connsiteY6" fmla="*/ 438878 h 478129"/>
                <a:gd name="connsiteX7" fmla="*/ 28183 w 246888"/>
                <a:gd name="connsiteY7" fmla="*/ 465064 h 478129"/>
                <a:gd name="connsiteX8" fmla="*/ 38765 w 246888"/>
                <a:gd name="connsiteY8" fmla="*/ 438068 h 478129"/>
                <a:gd name="connsiteX9" fmla="*/ 28399 w 246888"/>
                <a:gd name="connsiteY9" fmla="*/ 411073 h 478129"/>
                <a:gd name="connsiteX10" fmla="*/ 219893 w 246888"/>
                <a:gd name="connsiteY10" fmla="*/ 398061 h 478129"/>
                <a:gd name="connsiteX11" fmla="*/ 246888 w 246888"/>
                <a:gd name="connsiteY11" fmla="*/ 437528 h 478129"/>
                <a:gd name="connsiteX12" fmla="*/ 239519 w 246888"/>
                <a:gd name="connsiteY12" fmla="*/ 467655 h 478129"/>
                <a:gd name="connsiteX13" fmla="*/ 218381 w 246888"/>
                <a:gd name="connsiteY13" fmla="*/ 478129 h 478129"/>
                <a:gd name="connsiteX14" fmla="*/ 190738 w 246888"/>
                <a:gd name="connsiteY14" fmla="*/ 439310 h 478129"/>
                <a:gd name="connsiteX15" fmla="*/ 198216 w 246888"/>
                <a:gd name="connsiteY15" fmla="*/ 408616 h 478129"/>
                <a:gd name="connsiteX16" fmla="*/ 219893 w 246888"/>
                <a:gd name="connsiteY16" fmla="*/ 398061 h 478129"/>
                <a:gd name="connsiteX17" fmla="*/ 165600 w 246888"/>
                <a:gd name="connsiteY17" fmla="*/ 398061 h 478129"/>
                <a:gd name="connsiteX18" fmla="*/ 165600 w 246888"/>
                <a:gd name="connsiteY18" fmla="*/ 463282 h 478129"/>
                <a:gd name="connsiteX19" fmla="*/ 181527 w 246888"/>
                <a:gd name="connsiteY19" fmla="*/ 463282 h 478129"/>
                <a:gd name="connsiteX20" fmla="*/ 181527 w 246888"/>
                <a:gd name="connsiteY20" fmla="*/ 476779 h 478129"/>
                <a:gd name="connsiteX21" fmla="*/ 132558 w 246888"/>
                <a:gd name="connsiteY21" fmla="*/ 476779 h 478129"/>
                <a:gd name="connsiteX22" fmla="*/ 132558 w 246888"/>
                <a:gd name="connsiteY22" fmla="*/ 463282 h 478129"/>
                <a:gd name="connsiteX23" fmla="*/ 148593 w 246888"/>
                <a:gd name="connsiteY23" fmla="*/ 463282 h 478129"/>
                <a:gd name="connsiteX24" fmla="*/ 148593 w 246888"/>
                <a:gd name="connsiteY24" fmla="*/ 415068 h 478129"/>
                <a:gd name="connsiteX25" fmla="*/ 132126 w 246888"/>
                <a:gd name="connsiteY25" fmla="*/ 418632 h 478129"/>
                <a:gd name="connsiteX26" fmla="*/ 132126 w 246888"/>
                <a:gd name="connsiteY26" fmla="*/ 404810 h 478129"/>
                <a:gd name="connsiteX27" fmla="*/ 102021 w 246888"/>
                <a:gd name="connsiteY27" fmla="*/ 398061 h 478129"/>
                <a:gd name="connsiteX28" fmla="*/ 102021 w 246888"/>
                <a:gd name="connsiteY28" fmla="*/ 463282 h 478129"/>
                <a:gd name="connsiteX29" fmla="*/ 117948 w 246888"/>
                <a:gd name="connsiteY29" fmla="*/ 463282 h 478129"/>
                <a:gd name="connsiteX30" fmla="*/ 117948 w 246888"/>
                <a:gd name="connsiteY30" fmla="*/ 476779 h 478129"/>
                <a:gd name="connsiteX31" fmla="*/ 68979 w 246888"/>
                <a:gd name="connsiteY31" fmla="*/ 476779 h 478129"/>
                <a:gd name="connsiteX32" fmla="*/ 68979 w 246888"/>
                <a:gd name="connsiteY32" fmla="*/ 463282 h 478129"/>
                <a:gd name="connsiteX33" fmla="*/ 85014 w 246888"/>
                <a:gd name="connsiteY33" fmla="*/ 463282 h 478129"/>
                <a:gd name="connsiteX34" fmla="*/ 85014 w 246888"/>
                <a:gd name="connsiteY34" fmla="*/ 415068 h 478129"/>
                <a:gd name="connsiteX35" fmla="*/ 68547 w 246888"/>
                <a:gd name="connsiteY35" fmla="*/ 418632 h 478129"/>
                <a:gd name="connsiteX36" fmla="*/ 68547 w 246888"/>
                <a:gd name="connsiteY36" fmla="*/ 404810 h 478129"/>
                <a:gd name="connsiteX37" fmla="*/ 29155 w 246888"/>
                <a:gd name="connsiteY37" fmla="*/ 398061 h 478129"/>
                <a:gd name="connsiteX38" fmla="*/ 56150 w 246888"/>
                <a:gd name="connsiteY38" fmla="*/ 437528 h 478129"/>
                <a:gd name="connsiteX39" fmla="*/ 48780 w 246888"/>
                <a:gd name="connsiteY39" fmla="*/ 467655 h 478129"/>
                <a:gd name="connsiteX40" fmla="*/ 27643 w 246888"/>
                <a:gd name="connsiteY40" fmla="*/ 478129 h 478129"/>
                <a:gd name="connsiteX41" fmla="*/ 0 w 246888"/>
                <a:gd name="connsiteY41" fmla="*/ 439310 h 478129"/>
                <a:gd name="connsiteX42" fmla="*/ 7477 w 246888"/>
                <a:gd name="connsiteY42" fmla="*/ 408616 h 478129"/>
                <a:gd name="connsiteX43" fmla="*/ 29155 w 246888"/>
                <a:gd name="connsiteY43" fmla="*/ 398061 h 478129"/>
                <a:gd name="connsiteX44" fmla="*/ 155558 w 246888"/>
                <a:gd name="connsiteY44" fmla="*/ 278385 h 478129"/>
                <a:gd name="connsiteX45" fmla="*/ 144490 w 246888"/>
                <a:gd name="connsiteY45" fmla="*/ 306191 h 478129"/>
                <a:gd name="connsiteX46" fmla="*/ 155342 w 246888"/>
                <a:gd name="connsiteY46" fmla="*/ 332376 h 478129"/>
                <a:gd name="connsiteX47" fmla="*/ 165924 w 246888"/>
                <a:gd name="connsiteY47" fmla="*/ 305381 h 478129"/>
                <a:gd name="connsiteX48" fmla="*/ 155558 w 246888"/>
                <a:gd name="connsiteY48" fmla="*/ 278385 h 478129"/>
                <a:gd name="connsiteX49" fmla="*/ 91979 w 246888"/>
                <a:gd name="connsiteY49" fmla="*/ 278385 h 478129"/>
                <a:gd name="connsiteX50" fmla="*/ 80911 w 246888"/>
                <a:gd name="connsiteY50" fmla="*/ 306191 h 478129"/>
                <a:gd name="connsiteX51" fmla="*/ 91763 w 246888"/>
                <a:gd name="connsiteY51" fmla="*/ 332376 h 478129"/>
                <a:gd name="connsiteX52" fmla="*/ 102345 w 246888"/>
                <a:gd name="connsiteY52" fmla="*/ 305381 h 478129"/>
                <a:gd name="connsiteX53" fmla="*/ 91979 w 246888"/>
                <a:gd name="connsiteY53" fmla="*/ 278385 h 478129"/>
                <a:gd name="connsiteX54" fmla="*/ 28399 w 246888"/>
                <a:gd name="connsiteY54" fmla="*/ 278385 h 478129"/>
                <a:gd name="connsiteX55" fmla="*/ 17331 w 246888"/>
                <a:gd name="connsiteY55" fmla="*/ 306191 h 478129"/>
                <a:gd name="connsiteX56" fmla="*/ 28183 w 246888"/>
                <a:gd name="connsiteY56" fmla="*/ 332376 h 478129"/>
                <a:gd name="connsiteX57" fmla="*/ 38765 w 246888"/>
                <a:gd name="connsiteY57" fmla="*/ 305381 h 478129"/>
                <a:gd name="connsiteX58" fmla="*/ 28399 w 246888"/>
                <a:gd name="connsiteY58" fmla="*/ 278385 h 478129"/>
                <a:gd name="connsiteX59" fmla="*/ 229179 w 246888"/>
                <a:gd name="connsiteY59" fmla="*/ 265374 h 478129"/>
                <a:gd name="connsiteX60" fmla="*/ 229179 w 246888"/>
                <a:gd name="connsiteY60" fmla="*/ 330594 h 478129"/>
                <a:gd name="connsiteX61" fmla="*/ 245106 w 246888"/>
                <a:gd name="connsiteY61" fmla="*/ 330594 h 478129"/>
                <a:gd name="connsiteX62" fmla="*/ 245106 w 246888"/>
                <a:gd name="connsiteY62" fmla="*/ 344092 h 478129"/>
                <a:gd name="connsiteX63" fmla="*/ 196137 w 246888"/>
                <a:gd name="connsiteY63" fmla="*/ 344092 h 478129"/>
                <a:gd name="connsiteX64" fmla="*/ 196137 w 246888"/>
                <a:gd name="connsiteY64" fmla="*/ 330594 h 478129"/>
                <a:gd name="connsiteX65" fmla="*/ 212172 w 246888"/>
                <a:gd name="connsiteY65" fmla="*/ 330594 h 478129"/>
                <a:gd name="connsiteX66" fmla="*/ 212172 w 246888"/>
                <a:gd name="connsiteY66" fmla="*/ 282381 h 478129"/>
                <a:gd name="connsiteX67" fmla="*/ 195705 w 246888"/>
                <a:gd name="connsiteY67" fmla="*/ 285944 h 478129"/>
                <a:gd name="connsiteX68" fmla="*/ 195705 w 246888"/>
                <a:gd name="connsiteY68" fmla="*/ 272122 h 478129"/>
                <a:gd name="connsiteX69" fmla="*/ 156314 w 246888"/>
                <a:gd name="connsiteY69" fmla="*/ 265374 h 478129"/>
                <a:gd name="connsiteX70" fmla="*/ 183309 w 246888"/>
                <a:gd name="connsiteY70" fmla="*/ 304841 h 478129"/>
                <a:gd name="connsiteX71" fmla="*/ 175939 w 246888"/>
                <a:gd name="connsiteY71" fmla="*/ 334968 h 478129"/>
                <a:gd name="connsiteX72" fmla="*/ 154802 w 246888"/>
                <a:gd name="connsiteY72" fmla="*/ 345442 h 478129"/>
                <a:gd name="connsiteX73" fmla="*/ 127159 w 246888"/>
                <a:gd name="connsiteY73" fmla="*/ 306622 h 478129"/>
                <a:gd name="connsiteX74" fmla="*/ 134636 w 246888"/>
                <a:gd name="connsiteY74" fmla="*/ 275929 h 478129"/>
                <a:gd name="connsiteX75" fmla="*/ 156314 w 246888"/>
                <a:gd name="connsiteY75" fmla="*/ 265374 h 478129"/>
                <a:gd name="connsiteX76" fmla="*/ 92735 w 246888"/>
                <a:gd name="connsiteY76" fmla="*/ 265374 h 478129"/>
                <a:gd name="connsiteX77" fmla="*/ 119730 w 246888"/>
                <a:gd name="connsiteY77" fmla="*/ 304841 h 478129"/>
                <a:gd name="connsiteX78" fmla="*/ 112360 w 246888"/>
                <a:gd name="connsiteY78" fmla="*/ 334968 h 478129"/>
                <a:gd name="connsiteX79" fmla="*/ 91223 w 246888"/>
                <a:gd name="connsiteY79" fmla="*/ 345442 h 478129"/>
                <a:gd name="connsiteX80" fmla="*/ 63580 w 246888"/>
                <a:gd name="connsiteY80" fmla="*/ 306622 h 478129"/>
                <a:gd name="connsiteX81" fmla="*/ 71057 w 246888"/>
                <a:gd name="connsiteY81" fmla="*/ 275929 h 478129"/>
                <a:gd name="connsiteX82" fmla="*/ 92735 w 246888"/>
                <a:gd name="connsiteY82" fmla="*/ 265374 h 478129"/>
                <a:gd name="connsiteX83" fmla="*/ 29155 w 246888"/>
                <a:gd name="connsiteY83" fmla="*/ 265374 h 478129"/>
                <a:gd name="connsiteX84" fmla="*/ 56150 w 246888"/>
                <a:gd name="connsiteY84" fmla="*/ 304841 h 478129"/>
                <a:gd name="connsiteX85" fmla="*/ 48780 w 246888"/>
                <a:gd name="connsiteY85" fmla="*/ 334968 h 478129"/>
                <a:gd name="connsiteX86" fmla="*/ 27643 w 246888"/>
                <a:gd name="connsiteY86" fmla="*/ 345442 h 478129"/>
                <a:gd name="connsiteX87" fmla="*/ 0 w 246888"/>
                <a:gd name="connsiteY87" fmla="*/ 306622 h 478129"/>
                <a:gd name="connsiteX88" fmla="*/ 7477 w 246888"/>
                <a:gd name="connsiteY88" fmla="*/ 275929 h 478129"/>
                <a:gd name="connsiteX89" fmla="*/ 29155 w 246888"/>
                <a:gd name="connsiteY89" fmla="*/ 265374 h 478129"/>
                <a:gd name="connsiteX90" fmla="*/ 219137 w 246888"/>
                <a:gd name="connsiteY90" fmla="*/ 145698 h 478129"/>
                <a:gd name="connsiteX91" fmla="*/ 208069 w 246888"/>
                <a:gd name="connsiteY91" fmla="*/ 173504 h 478129"/>
                <a:gd name="connsiteX92" fmla="*/ 218921 w 246888"/>
                <a:gd name="connsiteY92" fmla="*/ 199689 h 478129"/>
                <a:gd name="connsiteX93" fmla="*/ 229503 w 246888"/>
                <a:gd name="connsiteY93" fmla="*/ 172694 h 478129"/>
                <a:gd name="connsiteX94" fmla="*/ 219137 w 246888"/>
                <a:gd name="connsiteY94" fmla="*/ 145698 h 478129"/>
                <a:gd name="connsiteX95" fmla="*/ 28399 w 246888"/>
                <a:gd name="connsiteY95" fmla="*/ 145698 h 478129"/>
                <a:gd name="connsiteX96" fmla="*/ 17331 w 246888"/>
                <a:gd name="connsiteY96" fmla="*/ 173504 h 478129"/>
                <a:gd name="connsiteX97" fmla="*/ 28183 w 246888"/>
                <a:gd name="connsiteY97" fmla="*/ 199689 h 478129"/>
                <a:gd name="connsiteX98" fmla="*/ 38765 w 246888"/>
                <a:gd name="connsiteY98" fmla="*/ 172694 h 478129"/>
                <a:gd name="connsiteX99" fmla="*/ 28399 w 246888"/>
                <a:gd name="connsiteY99" fmla="*/ 145698 h 478129"/>
                <a:gd name="connsiteX100" fmla="*/ 219893 w 246888"/>
                <a:gd name="connsiteY100" fmla="*/ 132687 h 478129"/>
                <a:gd name="connsiteX101" fmla="*/ 246888 w 246888"/>
                <a:gd name="connsiteY101" fmla="*/ 172154 h 478129"/>
                <a:gd name="connsiteX102" fmla="*/ 239519 w 246888"/>
                <a:gd name="connsiteY102" fmla="*/ 202281 h 478129"/>
                <a:gd name="connsiteX103" fmla="*/ 218381 w 246888"/>
                <a:gd name="connsiteY103" fmla="*/ 212755 h 478129"/>
                <a:gd name="connsiteX104" fmla="*/ 190738 w 246888"/>
                <a:gd name="connsiteY104" fmla="*/ 173935 h 478129"/>
                <a:gd name="connsiteX105" fmla="*/ 198216 w 246888"/>
                <a:gd name="connsiteY105" fmla="*/ 143242 h 478129"/>
                <a:gd name="connsiteX106" fmla="*/ 219893 w 246888"/>
                <a:gd name="connsiteY106" fmla="*/ 132687 h 478129"/>
                <a:gd name="connsiteX107" fmla="*/ 165600 w 246888"/>
                <a:gd name="connsiteY107" fmla="*/ 132687 h 478129"/>
                <a:gd name="connsiteX108" fmla="*/ 165600 w 246888"/>
                <a:gd name="connsiteY108" fmla="*/ 197907 h 478129"/>
                <a:gd name="connsiteX109" fmla="*/ 181527 w 246888"/>
                <a:gd name="connsiteY109" fmla="*/ 197907 h 478129"/>
                <a:gd name="connsiteX110" fmla="*/ 181527 w 246888"/>
                <a:gd name="connsiteY110" fmla="*/ 211405 h 478129"/>
                <a:gd name="connsiteX111" fmla="*/ 132558 w 246888"/>
                <a:gd name="connsiteY111" fmla="*/ 211405 h 478129"/>
                <a:gd name="connsiteX112" fmla="*/ 132558 w 246888"/>
                <a:gd name="connsiteY112" fmla="*/ 197907 h 478129"/>
                <a:gd name="connsiteX113" fmla="*/ 148593 w 246888"/>
                <a:gd name="connsiteY113" fmla="*/ 197907 h 478129"/>
                <a:gd name="connsiteX114" fmla="*/ 148593 w 246888"/>
                <a:gd name="connsiteY114" fmla="*/ 149694 h 478129"/>
                <a:gd name="connsiteX115" fmla="*/ 132126 w 246888"/>
                <a:gd name="connsiteY115" fmla="*/ 153257 h 478129"/>
                <a:gd name="connsiteX116" fmla="*/ 132126 w 246888"/>
                <a:gd name="connsiteY116" fmla="*/ 139435 h 478129"/>
                <a:gd name="connsiteX117" fmla="*/ 102021 w 246888"/>
                <a:gd name="connsiteY117" fmla="*/ 132687 h 478129"/>
                <a:gd name="connsiteX118" fmla="*/ 102021 w 246888"/>
                <a:gd name="connsiteY118" fmla="*/ 197907 h 478129"/>
                <a:gd name="connsiteX119" fmla="*/ 117948 w 246888"/>
                <a:gd name="connsiteY119" fmla="*/ 197907 h 478129"/>
                <a:gd name="connsiteX120" fmla="*/ 117948 w 246888"/>
                <a:gd name="connsiteY120" fmla="*/ 211405 h 478129"/>
                <a:gd name="connsiteX121" fmla="*/ 68979 w 246888"/>
                <a:gd name="connsiteY121" fmla="*/ 211405 h 478129"/>
                <a:gd name="connsiteX122" fmla="*/ 68979 w 246888"/>
                <a:gd name="connsiteY122" fmla="*/ 197907 h 478129"/>
                <a:gd name="connsiteX123" fmla="*/ 85014 w 246888"/>
                <a:gd name="connsiteY123" fmla="*/ 197907 h 478129"/>
                <a:gd name="connsiteX124" fmla="*/ 85014 w 246888"/>
                <a:gd name="connsiteY124" fmla="*/ 149694 h 478129"/>
                <a:gd name="connsiteX125" fmla="*/ 68547 w 246888"/>
                <a:gd name="connsiteY125" fmla="*/ 153257 h 478129"/>
                <a:gd name="connsiteX126" fmla="*/ 68547 w 246888"/>
                <a:gd name="connsiteY126" fmla="*/ 139435 h 478129"/>
                <a:gd name="connsiteX127" fmla="*/ 29155 w 246888"/>
                <a:gd name="connsiteY127" fmla="*/ 132687 h 478129"/>
                <a:gd name="connsiteX128" fmla="*/ 56150 w 246888"/>
                <a:gd name="connsiteY128" fmla="*/ 172154 h 478129"/>
                <a:gd name="connsiteX129" fmla="*/ 48780 w 246888"/>
                <a:gd name="connsiteY129" fmla="*/ 202281 h 478129"/>
                <a:gd name="connsiteX130" fmla="*/ 27643 w 246888"/>
                <a:gd name="connsiteY130" fmla="*/ 212755 h 478129"/>
                <a:gd name="connsiteX131" fmla="*/ 0 w 246888"/>
                <a:gd name="connsiteY131" fmla="*/ 173935 h 478129"/>
                <a:gd name="connsiteX132" fmla="*/ 7477 w 246888"/>
                <a:gd name="connsiteY132" fmla="*/ 143242 h 478129"/>
                <a:gd name="connsiteX133" fmla="*/ 29155 w 246888"/>
                <a:gd name="connsiteY133" fmla="*/ 132687 h 478129"/>
                <a:gd name="connsiteX134" fmla="*/ 28399 w 246888"/>
                <a:gd name="connsiteY134" fmla="*/ 13011 h 478129"/>
                <a:gd name="connsiteX135" fmla="*/ 17331 w 246888"/>
                <a:gd name="connsiteY135" fmla="*/ 40817 h 478129"/>
                <a:gd name="connsiteX136" fmla="*/ 28183 w 246888"/>
                <a:gd name="connsiteY136" fmla="*/ 67002 h 478129"/>
                <a:gd name="connsiteX137" fmla="*/ 38765 w 246888"/>
                <a:gd name="connsiteY137" fmla="*/ 40007 h 478129"/>
                <a:gd name="connsiteX138" fmla="*/ 28399 w 246888"/>
                <a:gd name="connsiteY138" fmla="*/ 13011 h 478129"/>
                <a:gd name="connsiteX139" fmla="*/ 102021 w 246888"/>
                <a:gd name="connsiteY139" fmla="*/ 0 h 478129"/>
                <a:gd name="connsiteX140" fmla="*/ 102021 w 246888"/>
                <a:gd name="connsiteY140" fmla="*/ 65220 h 478129"/>
                <a:gd name="connsiteX141" fmla="*/ 117948 w 246888"/>
                <a:gd name="connsiteY141" fmla="*/ 65220 h 478129"/>
                <a:gd name="connsiteX142" fmla="*/ 117948 w 246888"/>
                <a:gd name="connsiteY142" fmla="*/ 78718 h 478129"/>
                <a:gd name="connsiteX143" fmla="*/ 68979 w 246888"/>
                <a:gd name="connsiteY143" fmla="*/ 78718 h 478129"/>
                <a:gd name="connsiteX144" fmla="*/ 68979 w 246888"/>
                <a:gd name="connsiteY144" fmla="*/ 65220 h 478129"/>
                <a:gd name="connsiteX145" fmla="*/ 85014 w 246888"/>
                <a:gd name="connsiteY145" fmla="*/ 65220 h 478129"/>
                <a:gd name="connsiteX146" fmla="*/ 85014 w 246888"/>
                <a:gd name="connsiteY146" fmla="*/ 17007 h 478129"/>
                <a:gd name="connsiteX147" fmla="*/ 68547 w 246888"/>
                <a:gd name="connsiteY147" fmla="*/ 20570 h 478129"/>
                <a:gd name="connsiteX148" fmla="*/ 68547 w 246888"/>
                <a:gd name="connsiteY148" fmla="*/ 6748 h 478129"/>
                <a:gd name="connsiteX149" fmla="*/ 29155 w 246888"/>
                <a:gd name="connsiteY149" fmla="*/ 0 h 478129"/>
                <a:gd name="connsiteX150" fmla="*/ 56150 w 246888"/>
                <a:gd name="connsiteY150" fmla="*/ 39467 h 478129"/>
                <a:gd name="connsiteX151" fmla="*/ 48780 w 246888"/>
                <a:gd name="connsiteY151" fmla="*/ 69594 h 478129"/>
                <a:gd name="connsiteX152" fmla="*/ 27643 w 246888"/>
                <a:gd name="connsiteY152" fmla="*/ 80068 h 478129"/>
                <a:gd name="connsiteX153" fmla="*/ 0 w 246888"/>
                <a:gd name="connsiteY153" fmla="*/ 41248 h 478129"/>
                <a:gd name="connsiteX154" fmla="*/ 7477 w 246888"/>
                <a:gd name="connsiteY154" fmla="*/ 10555 h 478129"/>
                <a:gd name="connsiteX155" fmla="*/ 29155 w 246888"/>
                <a:gd name="connsiteY155" fmla="*/ 0 h 4781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Lst>
              <a:rect l="l" t="t" r="r" b="b"/>
              <a:pathLst>
                <a:path w="246888" h="478129">
                  <a:moveTo>
                    <a:pt x="219137" y="411073"/>
                  </a:moveTo>
                  <a:cubicBezTo>
                    <a:pt x="211758" y="411073"/>
                    <a:pt x="208069" y="420341"/>
                    <a:pt x="208069" y="438878"/>
                  </a:cubicBezTo>
                  <a:cubicBezTo>
                    <a:pt x="208069" y="456335"/>
                    <a:pt x="211686" y="465064"/>
                    <a:pt x="218921" y="465064"/>
                  </a:cubicBezTo>
                  <a:cubicBezTo>
                    <a:pt x="225976" y="465064"/>
                    <a:pt x="229503" y="456065"/>
                    <a:pt x="229503" y="438068"/>
                  </a:cubicBezTo>
                  <a:cubicBezTo>
                    <a:pt x="229503" y="420071"/>
                    <a:pt x="226048" y="411073"/>
                    <a:pt x="219137" y="411073"/>
                  </a:cubicBezTo>
                  <a:close/>
                  <a:moveTo>
                    <a:pt x="28399" y="411073"/>
                  </a:moveTo>
                  <a:cubicBezTo>
                    <a:pt x="21020" y="411073"/>
                    <a:pt x="17331" y="420341"/>
                    <a:pt x="17331" y="438878"/>
                  </a:cubicBezTo>
                  <a:cubicBezTo>
                    <a:pt x="17331" y="456335"/>
                    <a:pt x="20948" y="465064"/>
                    <a:pt x="28183" y="465064"/>
                  </a:cubicBezTo>
                  <a:cubicBezTo>
                    <a:pt x="35238" y="465064"/>
                    <a:pt x="38765" y="456065"/>
                    <a:pt x="38765" y="438068"/>
                  </a:cubicBezTo>
                  <a:cubicBezTo>
                    <a:pt x="38765" y="420071"/>
                    <a:pt x="35309" y="411073"/>
                    <a:pt x="28399" y="411073"/>
                  </a:cubicBezTo>
                  <a:close/>
                  <a:moveTo>
                    <a:pt x="219893" y="398061"/>
                  </a:moveTo>
                  <a:cubicBezTo>
                    <a:pt x="237890" y="398061"/>
                    <a:pt x="246888" y="411217"/>
                    <a:pt x="246888" y="437528"/>
                  </a:cubicBezTo>
                  <a:cubicBezTo>
                    <a:pt x="246888" y="450630"/>
                    <a:pt x="244432" y="460672"/>
                    <a:pt x="239519" y="467655"/>
                  </a:cubicBezTo>
                  <a:cubicBezTo>
                    <a:pt x="234605" y="474638"/>
                    <a:pt x="227560" y="478129"/>
                    <a:pt x="218381" y="478129"/>
                  </a:cubicBezTo>
                  <a:cubicBezTo>
                    <a:pt x="199953" y="478129"/>
                    <a:pt x="190738" y="465190"/>
                    <a:pt x="190738" y="439310"/>
                  </a:cubicBezTo>
                  <a:cubicBezTo>
                    <a:pt x="190738" y="425884"/>
                    <a:pt x="193231" y="415653"/>
                    <a:pt x="198216" y="408616"/>
                  </a:cubicBezTo>
                  <a:cubicBezTo>
                    <a:pt x="203201" y="401580"/>
                    <a:pt x="210427" y="398061"/>
                    <a:pt x="219893" y="398061"/>
                  </a:cubicBezTo>
                  <a:close/>
                  <a:moveTo>
                    <a:pt x="165600" y="398061"/>
                  </a:moveTo>
                  <a:lnTo>
                    <a:pt x="165600" y="463282"/>
                  </a:lnTo>
                  <a:lnTo>
                    <a:pt x="181527" y="463282"/>
                  </a:lnTo>
                  <a:lnTo>
                    <a:pt x="181527" y="476779"/>
                  </a:lnTo>
                  <a:lnTo>
                    <a:pt x="132558" y="476779"/>
                  </a:lnTo>
                  <a:lnTo>
                    <a:pt x="132558" y="463282"/>
                  </a:lnTo>
                  <a:lnTo>
                    <a:pt x="148593" y="463282"/>
                  </a:lnTo>
                  <a:lnTo>
                    <a:pt x="148593" y="415068"/>
                  </a:lnTo>
                  <a:lnTo>
                    <a:pt x="132126" y="418632"/>
                  </a:lnTo>
                  <a:lnTo>
                    <a:pt x="132126" y="404810"/>
                  </a:lnTo>
                  <a:close/>
                  <a:moveTo>
                    <a:pt x="102021" y="398061"/>
                  </a:moveTo>
                  <a:lnTo>
                    <a:pt x="102021" y="463282"/>
                  </a:lnTo>
                  <a:lnTo>
                    <a:pt x="117948" y="463282"/>
                  </a:lnTo>
                  <a:lnTo>
                    <a:pt x="117948" y="476779"/>
                  </a:lnTo>
                  <a:lnTo>
                    <a:pt x="68979" y="476779"/>
                  </a:lnTo>
                  <a:lnTo>
                    <a:pt x="68979" y="463282"/>
                  </a:lnTo>
                  <a:lnTo>
                    <a:pt x="85014" y="463282"/>
                  </a:lnTo>
                  <a:lnTo>
                    <a:pt x="85014" y="415068"/>
                  </a:lnTo>
                  <a:lnTo>
                    <a:pt x="68547" y="418632"/>
                  </a:lnTo>
                  <a:lnTo>
                    <a:pt x="68547" y="404810"/>
                  </a:lnTo>
                  <a:close/>
                  <a:moveTo>
                    <a:pt x="29155" y="398061"/>
                  </a:moveTo>
                  <a:cubicBezTo>
                    <a:pt x="47151" y="398061"/>
                    <a:pt x="56150" y="411217"/>
                    <a:pt x="56150" y="437528"/>
                  </a:cubicBezTo>
                  <a:cubicBezTo>
                    <a:pt x="56150" y="450630"/>
                    <a:pt x="53693" y="460672"/>
                    <a:pt x="48780" y="467655"/>
                  </a:cubicBezTo>
                  <a:cubicBezTo>
                    <a:pt x="43867" y="474638"/>
                    <a:pt x="36821" y="478129"/>
                    <a:pt x="27643" y="478129"/>
                  </a:cubicBezTo>
                  <a:cubicBezTo>
                    <a:pt x="9214" y="478129"/>
                    <a:pt x="0" y="465190"/>
                    <a:pt x="0" y="439310"/>
                  </a:cubicBezTo>
                  <a:cubicBezTo>
                    <a:pt x="0" y="425884"/>
                    <a:pt x="2492" y="415653"/>
                    <a:pt x="7477" y="408616"/>
                  </a:cubicBezTo>
                  <a:cubicBezTo>
                    <a:pt x="12463" y="401580"/>
                    <a:pt x="19688" y="398061"/>
                    <a:pt x="29155" y="398061"/>
                  </a:cubicBezTo>
                  <a:close/>
                  <a:moveTo>
                    <a:pt x="155558" y="278385"/>
                  </a:moveTo>
                  <a:cubicBezTo>
                    <a:pt x="148179" y="278385"/>
                    <a:pt x="144490" y="287654"/>
                    <a:pt x="144490" y="306191"/>
                  </a:cubicBezTo>
                  <a:cubicBezTo>
                    <a:pt x="144490" y="323647"/>
                    <a:pt x="148107" y="332376"/>
                    <a:pt x="155342" y="332376"/>
                  </a:cubicBezTo>
                  <a:cubicBezTo>
                    <a:pt x="162397" y="332376"/>
                    <a:pt x="165924" y="323378"/>
                    <a:pt x="165924" y="305381"/>
                  </a:cubicBezTo>
                  <a:cubicBezTo>
                    <a:pt x="165924" y="287384"/>
                    <a:pt x="162468" y="278385"/>
                    <a:pt x="155558" y="278385"/>
                  </a:cubicBezTo>
                  <a:close/>
                  <a:moveTo>
                    <a:pt x="91979" y="278385"/>
                  </a:moveTo>
                  <a:cubicBezTo>
                    <a:pt x="84600" y="278385"/>
                    <a:pt x="80911" y="287654"/>
                    <a:pt x="80911" y="306191"/>
                  </a:cubicBezTo>
                  <a:cubicBezTo>
                    <a:pt x="80911" y="323647"/>
                    <a:pt x="84528" y="332376"/>
                    <a:pt x="91763" y="332376"/>
                  </a:cubicBezTo>
                  <a:cubicBezTo>
                    <a:pt x="98818" y="332376"/>
                    <a:pt x="102345" y="323378"/>
                    <a:pt x="102345" y="305381"/>
                  </a:cubicBezTo>
                  <a:cubicBezTo>
                    <a:pt x="102345" y="287384"/>
                    <a:pt x="98889" y="278385"/>
                    <a:pt x="91979" y="278385"/>
                  </a:cubicBezTo>
                  <a:close/>
                  <a:moveTo>
                    <a:pt x="28399" y="278385"/>
                  </a:moveTo>
                  <a:cubicBezTo>
                    <a:pt x="21020" y="278385"/>
                    <a:pt x="17331" y="287654"/>
                    <a:pt x="17331" y="306191"/>
                  </a:cubicBezTo>
                  <a:cubicBezTo>
                    <a:pt x="17331" y="323647"/>
                    <a:pt x="20948" y="332376"/>
                    <a:pt x="28183" y="332376"/>
                  </a:cubicBezTo>
                  <a:cubicBezTo>
                    <a:pt x="35238" y="332376"/>
                    <a:pt x="38765" y="323378"/>
                    <a:pt x="38765" y="305381"/>
                  </a:cubicBezTo>
                  <a:cubicBezTo>
                    <a:pt x="38765" y="287384"/>
                    <a:pt x="35309" y="278385"/>
                    <a:pt x="28399" y="278385"/>
                  </a:cubicBezTo>
                  <a:close/>
                  <a:moveTo>
                    <a:pt x="229179" y="265374"/>
                  </a:moveTo>
                  <a:lnTo>
                    <a:pt x="229179" y="330594"/>
                  </a:lnTo>
                  <a:lnTo>
                    <a:pt x="245106" y="330594"/>
                  </a:lnTo>
                  <a:lnTo>
                    <a:pt x="245106" y="344092"/>
                  </a:lnTo>
                  <a:lnTo>
                    <a:pt x="196137" y="344092"/>
                  </a:lnTo>
                  <a:lnTo>
                    <a:pt x="196137" y="330594"/>
                  </a:lnTo>
                  <a:lnTo>
                    <a:pt x="212172" y="330594"/>
                  </a:lnTo>
                  <a:lnTo>
                    <a:pt x="212172" y="282381"/>
                  </a:lnTo>
                  <a:lnTo>
                    <a:pt x="195705" y="285944"/>
                  </a:lnTo>
                  <a:lnTo>
                    <a:pt x="195705" y="272122"/>
                  </a:lnTo>
                  <a:close/>
                  <a:moveTo>
                    <a:pt x="156314" y="265374"/>
                  </a:moveTo>
                  <a:cubicBezTo>
                    <a:pt x="174310" y="265374"/>
                    <a:pt x="183309" y="278529"/>
                    <a:pt x="183309" y="304841"/>
                  </a:cubicBezTo>
                  <a:cubicBezTo>
                    <a:pt x="183309" y="317943"/>
                    <a:pt x="180852" y="327985"/>
                    <a:pt x="175939" y="334968"/>
                  </a:cubicBezTo>
                  <a:cubicBezTo>
                    <a:pt x="171026" y="341950"/>
                    <a:pt x="163980" y="345442"/>
                    <a:pt x="154802" y="345442"/>
                  </a:cubicBezTo>
                  <a:cubicBezTo>
                    <a:pt x="136373" y="345442"/>
                    <a:pt x="127159" y="332502"/>
                    <a:pt x="127159" y="306622"/>
                  </a:cubicBezTo>
                  <a:cubicBezTo>
                    <a:pt x="127159" y="293197"/>
                    <a:pt x="129651" y="282966"/>
                    <a:pt x="134636" y="275929"/>
                  </a:cubicBezTo>
                  <a:cubicBezTo>
                    <a:pt x="139622" y="268892"/>
                    <a:pt x="146847" y="265374"/>
                    <a:pt x="156314" y="265374"/>
                  </a:cubicBezTo>
                  <a:close/>
                  <a:moveTo>
                    <a:pt x="92735" y="265374"/>
                  </a:moveTo>
                  <a:cubicBezTo>
                    <a:pt x="110731" y="265374"/>
                    <a:pt x="119730" y="278529"/>
                    <a:pt x="119730" y="304841"/>
                  </a:cubicBezTo>
                  <a:cubicBezTo>
                    <a:pt x="119730" y="317943"/>
                    <a:pt x="117273" y="327985"/>
                    <a:pt x="112360" y="334968"/>
                  </a:cubicBezTo>
                  <a:cubicBezTo>
                    <a:pt x="107447" y="341950"/>
                    <a:pt x="100401" y="345442"/>
                    <a:pt x="91223" y="345442"/>
                  </a:cubicBezTo>
                  <a:cubicBezTo>
                    <a:pt x="72794" y="345442"/>
                    <a:pt x="63580" y="332502"/>
                    <a:pt x="63580" y="306622"/>
                  </a:cubicBezTo>
                  <a:cubicBezTo>
                    <a:pt x="63580" y="293197"/>
                    <a:pt x="66072" y="282966"/>
                    <a:pt x="71057" y="275929"/>
                  </a:cubicBezTo>
                  <a:cubicBezTo>
                    <a:pt x="76043" y="268892"/>
                    <a:pt x="83268" y="265374"/>
                    <a:pt x="92735" y="265374"/>
                  </a:cubicBezTo>
                  <a:close/>
                  <a:moveTo>
                    <a:pt x="29155" y="265374"/>
                  </a:moveTo>
                  <a:cubicBezTo>
                    <a:pt x="47151" y="265374"/>
                    <a:pt x="56150" y="278529"/>
                    <a:pt x="56150" y="304841"/>
                  </a:cubicBezTo>
                  <a:cubicBezTo>
                    <a:pt x="56150" y="317943"/>
                    <a:pt x="53693" y="327985"/>
                    <a:pt x="48780" y="334968"/>
                  </a:cubicBezTo>
                  <a:cubicBezTo>
                    <a:pt x="43867" y="341950"/>
                    <a:pt x="36821" y="345442"/>
                    <a:pt x="27643" y="345442"/>
                  </a:cubicBezTo>
                  <a:cubicBezTo>
                    <a:pt x="9214" y="345442"/>
                    <a:pt x="0" y="332502"/>
                    <a:pt x="0" y="306622"/>
                  </a:cubicBezTo>
                  <a:cubicBezTo>
                    <a:pt x="0" y="293197"/>
                    <a:pt x="2492" y="282966"/>
                    <a:pt x="7477" y="275929"/>
                  </a:cubicBezTo>
                  <a:cubicBezTo>
                    <a:pt x="12463" y="268892"/>
                    <a:pt x="19688" y="265374"/>
                    <a:pt x="29155" y="265374"/>
                  </a:cubicBezTo>
                  <a:close/>
                  <a:moveTo>
                    <a:pt x="219137" y="145698"/>
                  </a:moveTo>
                  <a:cubicBezTo>
                    <a:pt x="211758" y="145698"/>
                    <a:pt x="208069" y="154967"/>
                    <a:pt x="208069" y="173504"/>
                  </a:cubicBezTo>
                  <a:cubicBezTo>
                    <a:pt x="208069" y="190961"/>
                    <a:pt x="211686" y="199689"/>
                    <a:pt x="218921" y="199689"/>
                  </a:cubicBezTo>
                  <a:cubicBezTo>
                    <a:pt x="225976" y="199689"/>
                    <a:pt x="229503" y="190691"/>
                    <a:pt x="229503" y="172694"/>
                  </a:cubicBezTo>
                  <a:cubicBezTo>
                    <a:pt x="229503" y="154697"/>
                    <a:pt x="226048" y="145698"/>
                    <a:pt x="219137" y="145698"/>
                  </a:cubicBezTo>
                  <a:close/>
                  <a:moveTo>
                    <a:pt x="28399" y="145698"/>
                  </a:moveTo>
                  <a:cubicBezTo>
                    <a:pt x="21020" y="145698"/>
                    <a:pt x="17331" y="154967"/>
                    <a:pt x="17331" y="173504"/>
                  </a:cubicBezTo>
                  <a:cubicBezTo>
                    <a:pt x="17331" y="190961"/>
                    <a:pt x="20948" y="199689"/>
                    <a:pt x="28183" y="199689"/>
                  </a:cubicBezTo>
                  <a:cubicBezTo>
                    <a:pt x="35238" y="199689"/>
                    <a:pt x="38765" y="190691"/>
                    <a:pt x="38765" y="172694"/>
                  </a:cubicBezTo>
                  <a:cubicBezTo>
                    <a:pt x="38765" y="154697"/>
                    <a:pt x="35309" y="145698"/>
                    <a:pt x="28399" y="145698"/>
                  </a:cubicBezTo>
                  <a:close/>
                  <a:moveTo>
                    <a:pt x="219893" y="132687"/>
                  </a:moveTo>
                  <a:cubicBezTo>
                    <a:pt x="237890" y="132687"/>
                    <a:pt x="246888" y="145842"/>
                    <a:pt x="246888" y="172154"/>
                  </a:cubicBezTo>
                  <a:cubicBezTo>
                    <a:pt x="246888" y="185256"/>
                    <a:pt x="244432" y="195298"/>
                    <a:pt x="239519" y="202281"/>
                  </a:cubicBezTo>
                  <a:cubicBezTo>
                    <a:pt x="234605" y="209263"/>
                    <a:pt x="227560" y="212755"/>
                    <a:pt x="218381" y="212755"/>
                  </a:cubicBezTo>
                  <a:cubicBezTo>
                    <a:pt x="199953" y="212755"/>
                    <a:pt x="190738" y="199815"/>
                    <a:pt x="190738" y="173935"/>
                  </a:cubicBezTo>
                  <a:cubicBezTo>
                    <a:pt x="190738" y="160510"/>
                    <a:pt x="193231" y="150279"/>
                    <a:pt x="198216" y="143242"/>
                  </a:cubicBezTo>
                  <a:cubicBezTo>
                    <a:pt x="203201" y="136205"/>
                    <a:pt x="210427" y="132687"/>
                    <a:pt x="219893" y="132687"/>
                  </a:cubicBezTo>
                  <a:close/>
                  <a:moveTo>
                    <a:pt x="165600" y="132687"/>
                  </a:moveTo>
                  <a:lnTo>
                    <a:pt x="165600" y="197907"/>
                  </a:lnTo>
                  <a:lnTo>
                    <a:pt x="181527" y="197907"/>
                  </a:lnTo>
                  <a:lnTo>
                    <a:pt x="181527" y="211405"/>
                  </a:lnTo>
                  <a:lnTo>
                    <a:pt x="132558" y="211405"/>
                  </a:lnTo>
                  <a:lnTo>
                    <a:pt x="132558" y="197907"/>
                  </a:lnTo>
                  <a:lnTo>
                    <a:pt x="148593" y="197907"/>
                  </a:lnTo>
                  <a:lnTo>
                    <a:pt x="148593" y="149694"/>
                  </a:lnTo>
                  <a:lnTo>
                    <a:pt x="132126" y="153257"/>
                  </a:lnTo>
                  <a:lnTo>
                    <a:pt x="132126" y="139435"/>
                  </a:lnTo>
                  <a:close/>
                  <a:moveTo>
                    <a:pt x="102021" y="132687"/>
                  </a:moveTo>
                  <a:lnTo>
                    <a:pt x="102021" y="197907"/>
                  </a:lnTo>
                  <a:lnTo>
                    <a:pt x="117948" y="197907"/>
                  </a:lnTo>
                  <a:lnTo>
                    <a:pt x="117948" y="211405"/>
                  </a:lnTo>
                  <a:lnTo>
                    <a:pt x="68979" y="211405"/>
                  </a:lnTo>
                  <a:lnTo>
                    <a:pt x="68979" y="197907"/>
                  </a:lnTo>
                  <a:lnTo>
                    <a:pt x="85014" y="197907"/>
                  </a:lnTo>
                  <a:lnTo>
                    <a:pt x="85014" y="149694"/>
                  </a:lnTo>
                  <a:lnTo>
                    <a:pt x="68547" y="153257"/>
                  </a:lnTo>
                  <a:lnTo>
                    <a:pt x="68547" y="139435"/>
                  </a:lnTo>
                  <a:close/>
                  <a:moveTo>
                    <a:pt x="29155" y="132687"/>
                  </a:moveTo>
                  <a:cubicBezTo>
                    <a:pt x="47151" y="132687"/>
                    <a:pt x="56150" y="145842"/>
                    <a:pt x="56150" y="172154"/>
                  </a:cubicBezTo>
                  <a:cubicBezTo>
                    <a:pt x="56150" y="185256"/>
                    <a:pt x="53693" y="195298"/>
                    <a:pt x="48780" y="202281"/>
                  </a:cubicBezTo>
                  <a:cubicBezTo>
                    <a:pt x="43867" y="209263"/>
                    <a:pt x="36821" y="212755"/>
                    <a:pt x="27643" y="212755"/>
                  </a:cubicBezTo>
                  <a:cubicBezTo>
                    <a:pt x="9214" y="212755"/>
                    <a:pt x="0" y="199815"/>
                    <a:pt x="0" y="173935"/>
                  </a:cubicBezTo>
                  <a:cubicBezTo>
                    <a:pt x="0" y="160510"/>
                    <a:pt x="2492" y="150279"/>
                    <a:pt x="7477" y="143242"/>
                  </a:cubicBezTo>
                  <a:cubicBezTo>
                    <a:pt x="12463" y="136205"/>
                    <a:pt x="19688" y="132687"/>
                    <a:pt x="29155" y="132687"/>
                  </a:cubicBezTo>
                  <a:close/>
                  <a:moveTo>
                    <a:pt x="28399" y="13011"/>
                  </a:moveTo>
                  <a:cubicBezTo>
                    <a:pt x="21020" y="13011"/>
                    <a:pt x="17331" y="22280"/>
                    <a:pt x="17331" y="40817"/>
                  </a:cubicBezTo>
                  <a:cubicBezTo>
                    <a:pt x="17331" y="58274"/>
                    <a:pt x="20948" y="67002"/>
                    <a:pt x="28183" y="67002"/>
                  </a:cubicBezTo>
                  <a:cubicBezTo>
                    <a:pt x="35238" y="67002"/>
                    <a:pt x="38765" y="58004"/>
                    <a:pt x="38765" y="40007"/>
                  </a:cubicBezTo>
                  <a:cubicBezTo>
                    <a:pt x="38765" y="22010"/>
                    <a:pt x="35309" y="13011"/>
                    <a:pt x="28399" y="13011"/>
                  </a:cubicBezTo>
                  <a:close/>
                  <a:moveTo>
                    <a:pt x="102021" y="0"/>
                  </a:moveTo>
                  <a:lnTo>
                    <a:pt x="102021" y="65220"/>
                  </a:lnTo>
                  <a:lnTo>
                    <a:pt x="117948" y="65220"/>
                  </a:lnTo>
                  <a:lnTo>
                    <a:pt x="117948" y="78718"/>
                  </a:lnTo>
                  <a:lnTo>
                    <a:pt x="68979" y="78718"/>
                  </a:lnTo>
                  <a:lnTo>
                    <a:pt x="68979" y="65220"/>
                  </a:lnTo>
                  <a:lnTo>
                    <a:pt x="85014" y="65220"/>
                  </a:lnTo>
                  <a:lnTo>
                    <a:pt x="85014" y="17007"/>
                  </a:lnTo>
                  <a:lnTo>
                    <a:pt x="68547" y="20570"/>
                  </a:lnTo>
                  <a:lnTo>
                    <a:pt x="68547" y="6748"/>
                  </a:lnTo>
                  <a:close/>
                  <a:moveTo>
                    <a:pt x="29155" y="0"/>
                  </a:moveTo>
                  <a:cubicBezTo>
                    <a:pt x="47151" y="0"/>
                    <a:pt x="56150" y="13155"/>
                    <a:pt x="56150" y="39467"/>
                  </a:cubicBezTo>
                  <a:cubicBezTo>
                    <a:pt x="56150" y="52569"/>
                    <a:pt x="53693" y="62611"/>
                    <a:pt x="48780" y="69594"/>
                  </a:cubicBezTo>
                  <a:cubicBezTo>
                    <a:pt x="43867" y="76576"/>
                    <a:pt x="36821" y="80068"/>
                    <a:pt x="27643" y="80068"/>
                  </a:cubicBezTo>
                  <a:cubicBezTo>
                    <a:pt x="9214" y="80068"/>
                    <a:pt x="0" y="67128"/>
                    <a:pt x="0" y="41248"/>
                  </a:cubicBezTo>
                  <a:cubicBezTo>
                    <a:pt x="0" y="27823"/>
                    <a:pt x="2492" y="17592"/>
                    <a:pt x="7477" y="10555"/>
                  </a:cubicBezTo>
                  <a:cubicBezTo>
                    <a:pt x="12463" y="3518"/>
                    <a:pt x="19688" y="0"/>
                    <a:pt x="29155"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1" name="Полилиния 70">
              <a:extLst>
                <a:ext uri="{FF2B5EF4-FFF2-40B4-BE49-F238E27FC236}">
                  <a16:creationId xmlns:a16="http://schemas.microsoft.com/office/drawing/2014/main" id="{41DDA2C1-5341-4F58-ADB9-7C313DBE448B}"/>
                </a:ext>
              </a:extLst>
            </xdr:cNvPr>
            <xdr:cNvSpPr/>
          </xdr:nvSpPr>
          <xdr:spPr>
            <a:xfrm>
              <a:off x="7453766" y="5905642"/>
              <a:ext cx="49401" cy="78718"/>
            </a:xfrm>
            <a:custGeom>
              <a:avLst/>
              <a:gdLst>
                <a:gd name="connsiteX0" fmla="*/ 230683 w 340444"/>
                <a:gd name="connsiteY0" fmla="*/ 0 h 542479"/>
                <a:gd name="connsiteX1" fmla="*/ 230683 w 340444"/>
                <a:gd name="connsiteY1" fmla="*/ 449461 h 542479"/>
                <a:gd name="connsiteX2" fmla="*/ 340444 w 340444"/>
                <a:gd name="connsiteY2" fmla="*/ 449461 h 542479"/>
                <a:gd name="connsiteX3" fmla="*/ 340444 w 340444"/>
                <a:gd name="connsiteY3" fmla="*/ 542479 h 542479"/>
                <a:gd name="connsiteX4" fmla="*/ 2976 w 340444"/>
                <a:gd name="connsiteY4" fmla="*/ 542479 h 542479"/>
                <a:gd name="connsiteX5" fmla="*/ 2976 w 340444"/>
                <a:gd name="connsiteY5" fmla="*/ 449461 h 542479"/>
                <a:gd name="connsiteX6" fmla="*/ 113481 w 340444"/>
                <a:gd name="connsiteY6" fmla="*/ 449461 h 542479"/>
                <a:gd name="connsiteX7" fmla="*/ 113481 w 340444"/>
                <a:gd name="connsiteY7" fmla="*/ 117203 h 542479"/>
                <a:gd name="connsiteX8" fmla="*/ 0 w 340444"/>
                <a:gd name="connsiteY8" fmla="*/ 141759 h 542479"/>
                <a:gd name="connsiteX9" fmla="*/ 0 w 340444"/>
                <a:gd name="connsiteY9" fmla="*/ 46509 h 542479"/>
                <a:gd name="connsiteX10" fmla="*/ 230683 w 340444"/>
                <a:gd name="connsiteY10" fmla="*/ 0 h 5424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340444" h="542479">
                  <a:moveTo>
                    <a:pt x="230683" y="0"/>
                  </a:moveTo>
                  <a:lnTo>
                    <a:pt x="230683" y="449461"/>
                  </a:lnTo>
                  <a:lnTo>
                    <a:pt x="340444" y="449461"/>
                  </a:lnTo>
                  <a:lnTo>
                    <a:pt x="340444" y="542479"/>
                  </a:lnTo>
                  <a:lnTo>
                    <a:pt x="2976" y="542479"/>
                  </a:lnTo>
                  <a:lnTo>
                    <a:pt x="2976" y="449461"/>
                  </a:lnTo>
                  <a:lnTo>
                    <a:pt x="113481" y="449461"/>
                  </a:lnTo>
                  <a:lnTo>
                    <a:pt x="113481" y="117203"/>
                  </a:lnTo>
                  <a:lnTo>
                    <a:pt x="0" y="141759"/>
                  </a:lnTo>
                  <a:lnTo>
                    <a:pt x="0" y="46509"/>
                  </a:lnTo>
                  <a:lnTo>
                    <a:pt x="230683" y="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2" name="Полилиния 71">
              <a:extLst>
                <a:ext uri="{FF2B5EF4-FFF2-40B4-BE49-F238E27FC236}">
                  <a16:creationId xmlns:a16="http://schemas.microsoft.com/office/drawing/2014/main" id="{E8DBD089-193F-4838-857E-1CD6AE863895}"/>
                </a:ext>
              </a:extLst>
            </xdr:cNvPr>
            <xdr:cNvSpPr/>
          </xdr:nvSpPr>
          <xdr:spPr>
            <a:xfrm>
              <a:off x="7194469" y="5115484"/>
              <a:ext cx="682633" cy="366164"/>
            </a:xfrm>
            <a:custGeom>
              <a:avLst/>
              <a:gdLst>
                <a:gd name="connsiteX0" fmla="*/ 0 w 4704301"/>
                <a:gd name="connsiteY0" fmla="*/ 0 h 2523387"/>
                <a:gd name="connsiteX1" fmla="*/ 4704301 w 4704301"/>
                <a:gd name="connsiteY1" fmla="*/ 0 h 2523387"/>
                <a:gd name="connsiteX2" fmla="*/ 4704301 w 4704301"/>
                <a:gd name="connsiteY2" fmla="*/ 2523387 h 2523387"/>
                <a:gd name="connsiteX3" fmla="*/ 4275629 w 4704301"/>
                <a:gd name="connsiteY3" fmla="*/ 2523387 h 2523387"/>
                <a:gd name="connsiteX4" fmla="*/ 4275629 w 4704301"/>
                <a:gd name="connsiteY4" fmla="*/ 410955 h 2523387"/>
                <a:gd name="connsiteX5" fmla="*/ 428671 w 4704301"/>
                <a:gd name="connsiteY5" fmla="*/ 410955 h 2523387"/>
                <a:gd name="connsiteX6" fmla="*/ 428671 w 4704301"/>
                <a:gd name="connsiteY6" fmla="*/ 1296780 h 2523387"/>
                <a:gd name="connsiteX7" fmla="*/ 0 w 4704301"/>
                <a:gd name="connsiteY7" fmla="*/ 1296780 h 25233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704301" h="2523387">
                  <a:moveTo>
                    <a:pt x="0" y="0"/>
                  </a:moveTo>
                  <a:lnTo>
                    <a:pt x="4704301" y="0"/>
                  </a:lnTo>
                  <a:lnTo>
                    <a:pt x="4704301" y="2523387"/>
                  </a:lnTo>
                  <a:lnTo>
                    <a:pt x="4275629" y="2523387"/>
                  </a:lnTo>
                  <a:lnTo>
                    <a:pt x="4275629" y="410955"/>
                  </a:lnTo>
                  <a:lnTo>
                    <a:pt x="428671" y="410955"/>
                  </a:lnTo>
                  <a:lnTo>
                    <a:pt x="428671" y="1296780"/>
                  </a:lnTo>
                  <a:lnTo>
                    <a:pt x="0" y="129678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73" name="Группа 72">
              <a:extLst>
                <a:ext uri="{FF2B5EF4-FFF2-40B4-BE49-F238E27FC236}">
                  <a16:creationId xmlns:a16="http://schemas.microsoft.com/office/drawing/2014/main" id="{A224FC24-228E-41BF-A15E-FEA51D4CC197}"/>
                </a:ext>
              </a:extLst>
            </xdr:cNvPr>
            <xdr:cNvGrpSpPr/>
          </xdr:nvGrpSpPr>
          <xdr:grpSpPr>
            <a:xfrm>
              <a:off x="7347735" y="5235474"/>
              <a:ext cx="423631" cy="160046"/>
              <a:chOff x="3152775" y="1377956"/>
              <a:chExt cx="2919413" cy="1102936"/>
            </a:xfrm>
            <a:grpFill/>
          </xdr:grpSpPr>
          <xdr:sp macro="" textlink="">
            <xdr:nvSpPr>
              <xdr:cNvPr id="74" name="Скругленный прямоугольник 73">
                <a:extLst>
                  <a:ext uri="{FF2B5EF4-FFF2-40B4-BE49-F238E27FC236}">
                    <a16:creationId xmlns:a16="http://schemas.microsoft.com/office/drawing/2014/main" id="{9348BC8F-6921-41E2-A58E-284EAA6B4ABF}"/>
                  </a:ext>
                </a:extLst>
              </xdr:cNvPr>
              <xdr:cNvSpPr/>
            </xdr:nvSpPr>
            <xdr:spPr>
              <a:xfrm>
                <a:off x="3152775" y="1377956"/>
                <a:ext cx="2919413"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5" name="Скругленный прямоугольник 74">
                <a:extLst>
                  <a:ext uri="{FF2B5EF4-FFF2-40B4-BE49-F238E27FC236}">
                    <a16:creationId xmlns:a16="http://schemas.microsoft.com/office/drawing/2014/main" id="{38C8B1A1-A644-41F5-809B-68FFD5E459C3}"/>
                  </a:ext>
                </a:extLst>
              </xdr:cNvPr>
              <xdr:cNvSpPr/>
            </xdr:nvSpPr>
            <xdr:spPr>
              <a:xfrm>
                <a:off x="4496631" y="2155737"/>
                <a:ext cx="1575557"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xnSp macro="">
        <xdr:nvCxnSpPr>
          <xdr:cNvPr id="62" name="Соединитель: уступ 65">
            <a:extLst>
              <a:ext uri="{FF2B5EF4-FFF2-40B4-BE49-F238E27FC236}">
                <a16:creationId xmlns:a16="http://schemas.microsoft.com/office/drawing/2014/main" id="{9BDAFFDB-5781-4AA1-9155-EF56E52BECE2}"/>
              </a:ext>
            </a:extLst>
          </xdr:cNvPr>
          <xdr:cNvCxnSpPr>
            <a:cxnSpLocks/>
            <a:endCxn id="59" idx="3"/>
          </xdr:cNvCxnSpPr>
        </xdr:nvCxnSpPr>
        <xdr:spPr>
          <a:xfrm rot="16200000" flipV="1">
            <a:off x="4331574" y="4196167"/>
            <a:ext cx="453670" cy="391966"/>
          </a:xfrm>
          <a:prstGeom prst="bentConnector2">
            <a:avLst/>
          </a:prstGeom>
          <a:ln>
            <a:solidFill>
              <a:schemeClr val="bg1">
                <a:lumMod val="75000"/>
              </a:schemeClr>
            </a:solidFill>
            <a:headEnd type="none"/>
            <a:tailEnd type="oval"/>
          </a:ln>
        </xdr:spPr>
        <xdr:style>
          <a:lnRef idx="1">
            <a:schemeClr val="accent1"/>
          </a:lnRef>
          <a:fillRef idx="0">
            <a:schemeClr val="accent1"/>
          </a:fillRef>
          <a:effectRef idx="0">
            <a:schemeClr val="accent1"/>
          </a:effectRef>
          <a:fontRef idx="minor">
            <a:schemeClr val="tx1"/>
          </a:fontRef>
        </xdr:style>
      </xdr:cxnSp>
      <xdr:cxnSp macro="">
        <xdr:nvCxnSpPr>
          <xdr:cNvPr id="63" name="Прямая соединительная линия 62">
            <a:extLst>
              <a:ext uri="{FF2B5EF4-FFF2-40B4-BE49-F238E27FC236}">
                <a16:creationId xmlns:a16="http://schemas.microsoft.com/office/drawing/2014/main" id="{86E552B7-DC59-4CC1-8094-61BBA85D68BA}"/>
              </a:ext>
            </a:extLst>
          </xdr:cNvPr>
          <xdr:cNvCxnSpPr>
            <a:cxnSpLocks/>
          </xdr:cNvCxnSpPr>
        </xdr:nvCxnSpPr>
        <xdr:spPr>
          <a:xfrm>
            <a:off x="4362426" y="3863845"/>
            <a:ext cx="0" cy="60294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175260</xdr:colOff>
      <xdr:row>30</xdr:row>
      <xdr:rowOff>80152</xdr:rowOff>
    </xdr:from>
    <xdr:to>
      <xdr:col>10</xdr:col>
      <xdr:colOff>578609</xdr:colOff>
      <xdr:row>38</xdr:row>
      <xdr:rowOff>22213</xdr:rowOff>
    </xdr:to>
    <xdr:grpSp>
      <xdr:nvGrpSpPr>
        <xdr:cNvPr id="33" name="Группа 32">
          <a:extLst>
            <a:ext uri="{FF2B5EF4-FFF2-40B4-BE49-F238E27FC236}">
              <a16:creationId xmlns:a16="http://schemas.microsoft.com/office/drawing/2014/main" id="{105B5153-0499-4852-B09D-90EB9BFC1688}"/>
            </a:ext>
          </a:extLst>
        </xdr:cNvPr>
        <xdr:cNvGrpSpPr/>
      </xdr:nvGrpSpPr>
      <xdr:grpSpPr>
        <a:xfrm>
          <a:off x="175260" y="6120123"/>
          <a:ext cx="6454525" cy="1466061"/>
          <a:chOff x="217215" y="4775348"/>
          <a:chExt cx="6499349" cy="1405101"/>
        </a:xfrm>
      </xdr:grpSpPr>
      <xdr:sp macro="" textlink="">
        <xdr:nvSpPr>
          <xdr:cNvPr id="34" name="TextBox 80">
            <a:extLst>
              <a:ext uri="{FF2B5EF4-FFF2-40B4-BE49-F238E27FC236}">
                <a16:creationId xmlns:a16="http://schemas.microsoft.com/office/drawing/2014/main" id="{E51569D9-2B9B-469A-8F04-D365A2A89FCE}"/>
              </a:ext>
            </a:extLst>
          </xdr:cNvPr>
          <xdr:cNvSpPr txBox="1"/>
        </xdr:nvSpPr>
        <xdr:spPr>
          <a:xfrm>
            <a:off x="3400793" y="5211973"/>
            <a:ext cx="1055412" cy="236956"/>
          </a:xfrm>
          <a:prstGeom prst="rect">
            <a:avLst/>
          </a:prstGeom>
          <a:no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b="1">
                <a:solidFill>
                  <a:srgbClr val="5471A9"/>
                </a:solidFill>
                <a:latin typeface="Segoe UI" panose="020B0502040204020203" pitchFamily="34" charset="0"/>
                <a:ea typeface="Segoe UI" panose="020B0502040204020203" pitchFamily="34" charset="0"/>
                <a:cs typeface="Segoe UI" panose="020B0502040204020203" pitchFamily="34" charset="0"/>
              </a:rPr>
              <a:t>Шаг </a:t>
            </a:r>
            <a:r>
              <a:rPr lang="en-US" sz="1400" b="1">
                <a:solidFill>
                  <a:srgbClr val="5471A9"/>
                </a:solidFill>
                <a:latin typeface="Segoe UI" panose="020B0502040204020203" pitchFamily="34" charset="0"/>
                <a:ea typeface="Segoe UI" panose="020B0502040204020203" pitchFamily="34" charset="0"/>
                <a:cs typeface="Segoe UI" panose="020B0502040204020203" pitchFamily="34" charset="0"/>
              </a:rPr>
              <a:t>#</a:t>
            </a:r>
            <a:r>
              <a:rPr lang="ru-RU" sz="1400" b="1">
                <a:solidFill>
                  <a:srgbClr val="5471A9"/>
                </a:solidFill>
                <a:latin typeface="Segoe UI" panose="020B0502040204020203" pitchFamily="34" charset="0"/>
                <a:ea typeface="Segoe UI" panose="020B0502040204020203" pitchFamily="34" charset="0"/>
                <a:cs typeface="Segoe UI" panose="020B0502040204020203" pitchFamily="34" charset="0"/>
              </a:rPr>
              <a:t>1</a:t>
            </a:r>
            <a:endParaRPr lang="en-US" sz="1400" b="1">
              <a:solidFill>
                <a:srgbClr val="5471A9"/>
              </a:solidFill>
              <a:latin typeface="Segoe UI" panose="020B0502040204020203" pitchFamily="34" charset="0"/>
              <a:ea typeface="Segoe UI" panose="020B0502040204020203" pitchFamily="34" charset="0"/>
              <a:cs typeface="Segoe UI" panose="020B0502040204020203" pitchFamily="34" charset="0"/>
            </a:endParaRPr>
          </a:p>
        </xdr:txBody>
      </xdr:sp>
      <xdr:grpSp>
        <xdr:nvGrpSpPr>
          <xdr:cNvPr id="35" name="Группа 34">
            <a:extLst>
              <a:ext uri="{FF2B5EF4-FFF2-40B4-BE49-F238E27FC236}">
                <a16:creationId xmlns:a16="http://schemas.microsoft.com/office/drawing/2014/main" id="{3ABDC948-85E3-41A7-88E3-DB932B80FEF5}"/>
              </a:ext>
            </a:extLst>
          </xdr:cNvPr>
          <xdr:cNvGrpSpPr/>
        </xdr:nvGrpSpPr>
        <xdr:grpSpPr>
          <a:xfrm>
            <a:off x="217215" y="4775348"/>
            <a:ext cx="6499349" cy="1405101"/>
            <a:chOff x="217215" y="4775348"/>
            <a:chExt cx="6499349" cy="1405101"/>
          </a:xfrm>
        </xdr:grpSpPr>
        <xdr:sp macro="" textlink="">
          <xdr:nvSpPr>
            <xdr:cNvPr id="36" name="Прямоугольник: скругленные углы 82">
              <a:extLst>
                <a:ext uri="{FF2B5EF4-FFF2-40B4-BE49-F238E27FC236}">
                  <a16:creationId xmlns:a16="http://schemas.microsoft.com/office/drawing/2014/main" id="{CE65A0D5-159D-44F6-B2F1-F8D40EE0BFA6}"/>
                </a:ext>
              </a:extLst>
            </xdr:cNvPr>
            <xdr:cNvSpPr/>
          </xdr:nvSpPr>
          <xdr:spPr bwMode="auto">
            <a:xfrm>
              <a:off x="3290722" y="5448929"/>
              <a:ext cx="2263775" cy="731520"/>
            </a:xfrm>
            <a:prstGeom prst="roundRect">
              <a:avLst/>
            </a:prstGeom>
            <a:solidFill>
              <a:srgbClr val="5471A9"/>
            </a:solidFill>
            <a:ln w="19050">
              <a:solidFill>
                <a:schemeClr val="bg1"/>
              </a:solid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ПОДГОТОВИТЬ</a:t>
              </a:r>
            </a:p>
            <a:p>
              <a:pPr algn="ctr"/>
              <a:r>
                <a:rPr lang="ru-RU" sz="1400" b="1" cap="all">
                  <a:solidFill>
                    <a:schemeClr val="bg1"/>
                  </a:solidFill>
                  <a:latin typeface="Segoe UI" panose="020B0502040204020203" pitchFamily="34" charset="0"/>
                  <a:ea typeface="Segoe UI" panose="020B0502040204020203" pitchFamily="34" charset="0"/>
                  <a:cs typeface="Segoe UI" panose="020B0502040204020203" pitchFamily="34" charset="0"/>
                </a:rPr>
                <a:t>КЛАСТЕР</a:t>
              </a:r>
              <a:endParaRPr lang="en-US" sz="1400" b="1" cap="all">
                <a:solidFill>
                  <a:schemeClr val="bg1"/>
                </a:solidFill>
                <a:latin typeface="Segoe UI" panose="020B0502040204020203" pitchFamily="34" charset="0"/>
                <a:ea typeface="Segoe UI" panose="020B0502040204020203" pitchFamily="34" charset="0"/>
                <a:cs typeface="Segoe UI" panose="020B0502040204020203" pitchFamily="34" charset="0"/>
              </a:endParaRPr>
            </a:p>
          </xdr:txBody>
        </xdr:sp>
        <xdr:sp macro="" textlink="">
          <xdr:nvSpPr>
            <xdr:cNvPr id="37" name="Прямоугольник 36">
              <a:extLst>
                <a:ext uri="{FF2B5EF4-FFF2-40B4-BE49-F238E27FC236}">
                  <a16:creationId xmlns:a16="http://schemas.microsoft.com/office/drawing/2014/main" id="{BC2629C4-207B-4749-BCBC-9EC5B197A797}"/>
                </a:ext>
              </a:extLst>
            </xdr:cNvPr>
            <xdr:cNvSpPr/>
          </xdr:nvSpPr>
          <xdr:spPr bwMode="auto">
            <a:xfrm>
              <a:off x="217215" y="4775348"/>
              <a:ext cx="2687743" cy="602940"/>
            </a:xfrm>
            <a:prstGeom prst="rect">
              <a:avLst/>
            </a:prstGeom>
            <a:noFill/>
            <a:ln>
              <a:noFill/>
            </a:ln>
          </xdr:spPr>
          <xdr:txBody>
            <a:bodyPr wrap="square" lIns="0" tIns="0" rIns="9144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r" defTabSz="914400" eaLnBrk="1" fontAlgn="auto" latinLnBrk="0" hangingPunct="1">
                <a:lnSpc>
                  <a:spcPct val="100000"/>
                </a:lnSpc>
                <a:spcBef>
                  <a:spcPts val="0"/>
                </a:spcBef>
                <a:spcAft>
                  <a:spcPts val="0"/>
                </a:spcAft>
                <a:buClrTx/>
                <a:buSzTx/>
                <a:buFontTx/>
                <a:buNone/>
                <a:tabLst/>
              </a:pPr>
              <a:r>
                <a:rPr lang="ru-RU" sz="1200" kern="0">
                  <a:solidFill>
                    <a:srgbClr val="001031"/>
                  </a:solidFill>
                  <a:latin typeface="Segoe UI"/>
                </a:rPr>
                <a:t>Создание </a:t>
              </a:r>
              <a:r>
                <a:rPr kumimoji="0" lang="ru-RU" sz="1200" b="0" i="0" u="none" strike="noStrike" kern="0" cap="none" spc="0" normalizeH="0" baseline="0">
                  <a:ln>
                    <a:noFill/>
                  </a:ln>
                  <a:solidFill>
                    <a:srgbClr val="001031"/>
                  </a:solidFill>
                  <a:effectLst/>
                  <a:uLnTx/>
                  <a:uFillTx/>
                  <a:latin typeface="Segoe UI"/>
                </a:rPr>
                <a:t>инфраструктуры, установка и настройка оркестрации</a:t>
              </a:r>
              <a:endParaRPr kumimoji="0" lang="en-US" sz="1200" b="0" i="0" u="none" strike="noStrike" kern="0" cap="none" spc="0" normalizeH="0" baseline="0">
                <a:ln>
                  <a:noFill/>
                </a:ln>
                <a:solidFill>
                  <a:srgbClr val="001031"/>
                </a:solidFill>
                <a:effectLst/>
                <a:uLnTx/>
                <a:uFillTx/>
                <a:latin typeface="Segoe UI"/>
              </a:endParaRPr>
            </a:p>
          </xdr:txBody>
        </xdr:sp>
        <xdr:grpSp>
          <xdr:nvGrpSpPr>
            <xdr:cNvPr id="38" name="Группа 37">
              <a:extLst>
                <a:ext uri="{FF2B5EF4-FFF2-40B4-BE49-F238E27FC236}">
                  <a16:creationId xmlns:a16="http://schemas.microsoft.com/office/drawing/2014/main" id="{DFB35C73-ABE5-4F8D-AAD5-0B629C53D959}"/>
                </a:ext>
              </a:extLst>
            </xdr:cNvPr>
            <xdr:cNvGrpSpPr>
              <a:grpSpLocks noChangeAspect="1"/>
            </xdr:cNvGrpSpPr>
          </xdr:nvGrpSpPr>
          <xdr:grpSpPr>
            <a:xfrm>
              <a:off x="6147069" y="5530998"/>
              <a:ext cx="569495" cy="567382"/>
              <a:chOff x="-1361378" y="658496"/>
              <a:chExt cx="1173998" cy="1169644"/>
            </a:xfrm>
          </xdr:grpSpPr>
          <xdr:sp macro="" textlink="">
            <xdr:nvSpPr>
              <xdr:cNvPr id="47" name="Полилиния: фигура 93">
                <a:extLst>
                  <a:ext uri="{FF2B5EF4-FFF2-40B4-BE49-F238E27FC236}">
                    <a16:creationId xmlns:a16="http://schemas.microsoft.com/office/drawing/2014/main" id="{5E4C22C2-06FD-4059-A6AA-9E64CDC20AC7}"/>
                  </a:ext>
                </a:extLst>
              </xdr:cNvPr>
              <xdr:cNvSpPr/>
            </xdr:nvSpPr>
            <xdr:spPr>
              <a:xfrm rot="5400000" flipV="1">
                <a:off x="-1359201" y="656319"/>
                <a:ext cx="1169644" cy="1173998"/>
              </a:xfrm>
              <a:custGeom>
                <a:avLst/>
                <a:gdLst>
                  <a:gd name="connsiteX0" fmla="*/ 205650 w 3912688"/>
                  <a:gd name="connsiteY0" fmla="*/ 1768048 h 3927255"/>
                  <a:gd name="connsiteX1" fmla="*/ 426783 w 3912688"/>
                  <a:gd name="connsiteY1" fmla="*/ 1768048 h 3927255"/>
                  <a:gd name="connsiteX2" fmla="*/ 431280 w 3912688"/>
                  <a:gd name="connsiteY2" fmla="*/ 1728669 h 3927255"/>
                  <a:gd name="connsiteX3" fmla="*/ 676996 w 3912688"/>
                  <a:gd name="connsiteY3" fmla="*/ 1101011 h 3927255"/>
                  <a:gd name="connsiteX4" fmla="*/ 740306 w 3912688"/>
                  <a:gd name="connsiteY4" fmla="*/ 1016348 h 3927255"/>
                  <a:gd name="connsiteX5" fmla="*/ 600055 w 3912688"/>
                  <a:gd name="connsiteY5" fmla="*/ 876097 h 3927255"/>
                  <a:gd name="connsiteX6" fmla="*/ 876647 w 3912688"/>
                  <a:gd name="connsiteY6" fmla="*/ 599505 h 3927255"/>
                  <a:gd name="connsiteX7" fmla="*/ 1018028 w 3912688"/>
                  <a:gd name="connsiteY7" fmla="*/ 740887 h 3927255"/>
                  <a:gd name="connsiteX8" fmla="*/ 1093727 w 3912688"/>
                  <a:gd name="connsiteY8" fmla="*/ 684280 h 3927255"/>
                  <a:gd name="connsiteX9" fmla="*/ 1721384 w 3912688"/>
                  <a:gd name="connsiteY9" fmla="*/ 438564 h 3927255"/>
                  <a:gd name="connsiteX10" fmla="*/ 1761169 w 3912688"/>
                  <a:gd name="connsiteY10" fmla="*/ 434020 h 3927255"/>
                  <a:gd name="connsiteX11" fmla="*/ 1761169 w 3912688"/>
                  <a:gd name="connsiteY11" fmla="*/ 237372 h 3927255"/>
                  <a:gd name="connsiteX12" fmla="*/ 2152329 w 3912688"/>
                  <a:gd name="connsiteY12" fmla="*/ 237372 h 3927255"/>
                  <a:gd name="connsiteX13" fmla="*/ 2152329 w 3912688"/>
                  <a:gd name="connsiteY13" fmla="*/ 434200 h 3927255"/>
                  <a:gd name="connsiteX14" fmla="*/ 2196088 w 3912688"/>
                  <a:gd name="connsiteY14" fmla="*/ 439303 h 3927255"/>
                  <a:gd name="connsiteX15" fmla="*/ 2834284 w 3912688"/>
                  <a:gd name="connsiteY15" fmla="*/ 694767 h 3927255"/>
                  <a:gd name="connsiteX16" fmla="*/ 2905278 w 3912688"/>
                  <a:gd name="connsiteY16" fmla="*/ 748522 h 3927255"/>
                  <a:gd name="connsiteX17" fmla="*/ 3059375 w 3912688"/>
                  <a:gd name="connsiteY17" fmla="*/ 594425 h 3927255"/>
                  <a:gd name="connsiteX18" fmla="*/ 3335966 w 3912688"/>
                  <a:gd name="connsiteY18" fmla="*/ 871017 h 3927255"/>
                  <a:gd name="connsiteX19" fmla="*/ 3180588 w 3912688"/>
                  <a:gd name="connsiteY19" fmla="*/ 1026395 h 3927255"/>
                  <a:gd name="connsiteX20" fmla="*/ 3203695 w 3912688"/>
                  <a:gd name="connsiteY20" fmla="*/ 1055441 h 3927255"/>
                  <a:gd name="connsiteX21" fmla="*/ 3467840 w 3912688"/>
                  <a:gd name="connsiteY21" fmla="*/ 1652692 h 3927255"/>
                  <a:gd name="connsiteX22" fmla="*/ 3485445 w 3912688"/>
                  <a:gd name="connsiteY22" fmla="*/ 1768048 h 3927255"/>
                  <a:gd name="connsiteX23" fmla="*/ 3705716 w 3912688"/>
                  <a:gd name="connsiteY23" fmla="*/ 1768047 h 3927255"/>
                  <a:gd name="connsiteX24" fmla="*/ 3705716 w 3912688"/>
                  <a:gd name="connsiteY24" fmla="*/ 2159208 h 3927255"/>
                  <a:gd name="connsiteX25" fmla="*/ 3485819 w 3912688"/>
                  <a:gd name="connsiteY25" fmla="*/ 2159208 h 3927255"/>
                  <a:gd name="connsiteX26" fmla="*/ 3480669 w 3912688"/>
                  <a:gd name="connsiteY26" fmla="*/ 2203374 h 3927255"/>
                  <a:gd name="connsiteX27" fmla="*/ 3225205 w 3912688"/>
                  <a:gd name="connsiteY27" fmla="*/ 2841569 h 3927255"/>
                  <a:gd name="connsiteX28" fmla="*/ 3188915 w 3912688"/>
                  <a:gd name="connsiteY28" fmla="*/ 2889497 h 3927255"/>
                  <a:gd name="connsiteX29" fmla="*/ 3354168 w 3912688"/>
                  <a:gd name="connsiteY29" fmla="*/ 3054749 h 3927255"/>
                  <a:gd name="connsiteX30" fmla="*/ 3077576 w 3912688"/>
                  <a:gd name="connsiteY30" fmla="*/ 3331341 h 3927255"/>
                  <a:gd name="connsiteX31" fmla="*/ 2916150 w 3912688"/>
                  <a:gd name="connsiteY31" fmla="*/ 3169916 h 3927255"/>
                  <a:gd name="connsiteX32" fmla="*/ 2864531 w 3912688"/>
                  <a:gd name="connsiteY32" fmla="*/ 3210980 h 3927255"/>
                  <a:gd name="connsiteX33" fmla="*/ 2267281 w 3912688"/>
                  <a:gd name="connsiteY33" fmla="*/ 3475124 h 3927255"/>
                  <a:gd name="connsiteX34" fmla="*/ 2152329 w 3912688"/>
                  <a:gd name="connsiteY34" fmla="*/ 3492668 h 3927255"/>
                  <a:gd name="connsiteX35" fmla="*/ 2152329 w 3912688"/>
                  <a:gd name="connsiteY35" fmla="*/ 3679727 h 3927255"/>
                  <a:gd name="connsiteX36" fmla="*/ 1761169 w 3912688"/>
                  <a:gd name="connsiteY36" fmla="*/ 3679727 h 3927255"/>
                  <a:gd name="connsiteX37" fmla="*/ 1761169 w 3912688"/>
                  <a:gd name="connsiteY37" fmla="*/ 3493151 h 3927255"/>
                  <a:gd name="connsiteX38" fmla="*/ 1716599 w 3912688"/>
                  <a:gd name="connsiteY38" fmla="*/ 3487953 h 3927255"/>
                  <a:gd name="connsiteX39" fmla="*/ 1078403 w 3912688"/>
                  <a:gd name="connsiteY39" fmla="*/ 3232489 h 3927255"/>
                  <a:gd name="connsiteX40" fmla="*/ 1008955 w 3912688"/>
                  <a:gd name="connsiteY40" fmla="*/ 3179904 h 3927255"/>
                  <a:gd name="connsiteX41" fmla="*/ 867678 w 3912688"/>
                  <a:gd name="connsiteY41" fmla="*/ 3321181 h 3927255"/>
                  <a:gd name="connsiteX42" fmla="*/ 591086 w 3912688"/>
                  <a:gd name="connsiteY42" fmla="*/ 3044589 h 3927255"/>
                  <a:gd name="connsiteX43" fmla="*/ 733302 w 3912688"/>
                  <a:gd name="connsiteY43" fmla="*/ 2902373 h 3927255"/>
                  <a:gd name="connsiteX44" fmla="*/ 708992 w 3912688"/>
                  <a:gd name="connsiteY44" fmla="*/ 2871816 h 3927255"/>
                  <a:gd name="connsiteX45" fmla="*/ 444848 w 3912688"/>
                  <a:gd name="connsiteY45" fmla="*/ 2274565 h 3927255"/>
                  <a:gd name="connsiteX46" fmla="*/ 427243 w 3912688"/>
                  <a:gd name="connsiteY46" fmla="*/ 2159208 h 3927255"/>
                  <a:gd name="connsiteX47" fmla="*/ 205650 w 3912688"/>
                  <a:gd name="connsiteY47" fmla="*/ 2159208 h 3927255"/>
                  <a:gd name="connsiteX48" fmla="*/ 0 w 3912688"/>
                  <a:gd name="connsiteY48" fmla="*/ 1657355 h 3927255"/>
                  <a:gd name="connsiteX49" fmla="*/ 0 w 3912688"/>
                  <a:gd name="connsiteY49" fmla="*/ 2259336 h 3927255"/>
                  <a:gd name="connsiteX50" fmla="*/ 182019 w 3912688"/>
                  <a:gd name="connsiteY50" fmla="*/ 2441355 h 3927255"/>
                  <a:gd name="connsiteX51" fmla="*/ 288446 w 3912688"/>
                  <a:gd name="connsiteY51" fmla="*/ 2441355 h 3927255"/>
                  <a:gd name="connsiteX52" fmla="*/ 297092 w 3912688"/>
                  <a:gd name="connsiteY52" fmla="*/ 2474982 h 3927255"/>
                  <a:gd name="connsiteX53" fmla="*/ 428674 w 3912688"/>
                  <a:gd name="connsiteY53" fmla="*/ 2786474 h 3927255"/>
                  <a:gd name="connsiteX54" fmla="*/ 438202 w 3912688"/>
                  <a:gd name="connsiteY54" fmla="*/ 2802155 h 3927255"/>
                  <a:gd name="connsiteX55" fmla="*/ 356981 w 3912688"/>
                  <a:gd name="connsiteY55" fmla="*/ 2883377 h 3927255"/>
                  <a:gd name="connsiteX56" fmla="*/ 300472 w 3912688"/>
                  <a:gd name="connsiteY56" fmla="*/ 3019797 h 3927255"/>
                  <a:gd name="connsiteX57" fmla="*/ 356981 w 3912688"/>
                  <a:gd name="connsiteY57" fmla="*/ 3156217 h 3927255"/>
                  <a:gd name="connsiteX58" fmla="*/ 767218 w 3912688"/>
                  <a:gd name="connsiteY58" fmla="*/ 3566456 h 3927255"/>
                  <a:gd name="connsiteX59" fmla="*/ 1040058 w 3912688"/>
                  <a:gd name="connsiteY59" fmla="*/ 3566456 h 3927255"/>
                  <a:gd name="connsiteX60" fmla="*/ 1123416 w 3912688"/>
                  <a:gd name="connsiteY60" fmla="*/ 3483099 h 3927255"/>
                  <a:gd name="connsiteX61" fmla="*/ 1128215 w 3912688"/>
                  <a:gd name="connsiteY61" fmla="*/ 3486015 h 3927255"/>
                  <a:gd name="connsiteX62" fmla="*/ 1439708 w 3912688"/>
                  <a:gd name="connsiteY62" fmla="*/ 3617597 h 3927255"/>
                  <a:gd name="connsiteX63" fmla="*/ 1487038 w 3912688"/>
                  <a:gd name="connsiteY63" fmla="*/ 3629767 h 3927255"/>
                  <a:gd name="connsiteX64" fmla="*/ 1487038 w 3912688"/>
                  <a:gd name="connsiteY64" fmla="*/ 3730248 h 3927255"/>
                  <a:gd name="connsiteX65" fmla="*/ 1684045 w 3912688"/>
                  <a:gd name="connsiteY65" fmla="*/ 3927255 h 3927255"/>
                  <a:gd name="connsiteX66" fmla="*/ 2256049 w 3912688"/>
                  <a:gd name="connsiteY66" fmla="*/ 3927255 h 3927255"/>
                  <a:gd name="connsiteX67" fmla="*/ 2453056 w 3912688"/>
                  <a:gd name="connsiteY67" fmla="*/ 3730248 h 3927255"/>
                  <a:gd name="connsiteX68" fmla="*/ 2453056 w 3912688"/>
                  <a:gd name="connsiteY68" fmla="*/ 3622720 h 3927255"/>
                  <a:gd name="connsiteX69" fmla="*/ 2472982 w 3912688"/>
                  <a:gd name="connsiteY69" fmla="*/ 3617597 h 3927255"/>
                  <a:gd name="connsiteX70" fmla="*/ 2784473 w 3912688"/>
                  <a:gd name="connsiteY70" fmla="*/ 3486015 h 3927255"/>
                  <a:gd name="connsiteX71" fmla="*/ 2806322 w 3912688"/>
                  <a:gd name="connsiteY71" fmla="*/ 3472742 h 3927255"/>
                  <a:gd name="connsiteX72" fmla="*/ 2900036 w 3912688"/>
                  <a:gd name="connsiteY72" fmla="*/ 3566456 h 3927255"/>
                  <a:gd name="connsiteX73" fmla="*/ 3172876 w 3912688"/>
                  <a:gd name="connsiteY73" fmla="*/ 3566456 h 3927255"/>
                  <a:gd name="connsiteX74" fmla="*/ 3583115 w 3912688"/>
                  <a:gd name="connsiteY74" fmla="*/ 3156217 h 3927255"/>
                  <a:gd name="connsiteX75" fmla="*/ 3583115 w 3912688"/>
                  <a:gd name="connsiteY75" fmla="*/ 2883377 h 3927255"/>
                  <a:gd name="connsiteX76" fmla="*/ 3484728 w 3912688"/>
                  <a:gd name="connsiteY76" fmla="*/ 2784991 h 3927255"/>
                  <a:gd name="connsiteX77" fmla="*/ 3557174 w 3912688"/>
                  <a:gd name="connsiteY77" fmla="*/ 2634603 h 3927255"/>
                  <a:gd name="connsiteX78" fmla="*/ 3615596 w 3912688"/>
                  <a:gd name="connsiteY78" fmla="*/ 2474982 h 3927255"/>
                  <a:gd name="connsiteX79" fmla="*/ 3622705 w 3912688"/>
                  <a:gd name="connsiteY79" fmla="*/ 2447335 h 3927255"/>
                  <a:gd name="connsiteX80" fmla="*/ 3729616 w 3912688"/>
                  <a:gd name="connsiteY80" fmla="*/ 2447335 h 3927255"/>
                  <a:gd name="connsiteX81" fmla="*/ 3912688 w 3912688"/>
                  <a:gd name="connsiteY81" fmla="*/ 2264263 h 3927255"/>
                  <a:gd name="connsiteX82" fmla="*/ 3912688 w 3912688"/>
                  <a:gd name="connsiteY82" fmla="*/ 1664388 h 3927255"/>
                  <a:gd name="connsiteX83" fmla="*/ 3729616 w 3912688"/>
                  <a:gd name="connsiteY83" fmla="*/ 1481316 h 3927255"/>
                  <a:gd name="connsiteX84" fmla="*/ 3625780 w 3912688"/>
                  <a:gd name="connsiteY84" fmla="*/ 1481316 h 3927255"/>
                  <a:gd name="connsiteX85" fmla="*/ 3615596 w 3912688"/>
                  <a:gd name="connsiteY85" fmla="*/ 1441707 h 3927255"/>
                  <a:gd name="connsiteX86" fmla="*/ 3557173 w 3912688"/>
                  <a:gd name="connsiteY86" fmla="*/ 1282086 h 3927255"/>
                  <a:gd name="connsiteX87" fmla="*/ 3486275 w 3912688"/>
                  <a:gd name="connsiteY87" fmla="*/ 1134910 h 3927255"/>
                  <a:gd name="connsiteX88" fmla="*/ 3583115 w 3912688"/>
                  <a:gd name="connsiteY88" fmla="*/ 1038071 h 3927255"/>
                  <a:gd name="connsiteX89" fmla="*/ 3583115 w 3912688"/>
                  <a:gd name="connsiteY89" fmla="*/ 765231 h 3927255"/>
                  <a:gd name="connsiteX90" fmla="*/ 3172876 w 3912688"/>
                  <a:gd name="connsiteY90" fmla="*/ 354992 h 3927255"/>
                  <a:gd name="connsiteX91" fmla="*/ 2900036 w 3912688"/>
                  <a:gd name="connsiteY91" fmla="*/ 354992 h 3927255"/>
                  <a:gd name="connsiteX92" fmla="*/ 2809282 w 3912688"/>
                  <a:gd name="connsiteY92" fmla="*/ 445747 h 3927255"/>
                  <a:gd name="connsiteX93" fmla="*/ 2784473 w 3912688"/>
                  <a:gd name="connsiteY93" fmla="*/ 430675 h 3927255"/>
                  <a:gd name="connsiteX94" fmla="*/ 2472981 w 3912688"/>
                  <a:gd name="connsiteY94" fmla="*/ 299093 h 3927255"/>
                  <a:gd name="connsiteX95" fmla="*/ 2453056 w 3912688"/>
                  <a:gd name="connsiteY95" fmla="*/ 293970 h 3927255"/>
                  <a:gd name="connsiteX96" fmla="*/ 2453056 w 3912688"/>
                  <a:gd name="connsiteY96" fmla="*/ 197007 h 3927255"/>
                  <a:gd name="connsiteX97" fmla="*/ 2256049 w 3912688"/>
                  <a:gd name="connsiteY97" fmla="*/ 0 h 3927255"/>
                  <a:gd name="connsiteX98" fmla="*/ 1684045 w 3912688"/>
                  <a:gd name="connsiteY98" fmla="*/ 0 h 3927255"/>
                  <a:gd name="connsiteX99" fmla="*/ 1487038 w 3912688"/>
                  <a:gd name="connsiteY99" fmla="*/ 197007 h 3927255"/>
                  <a:gd name="connsiteX100" fmla="*/ 1487038 w 3912688"/>
                  <a:gd name="connsiteY100" fmla="*/ 286923 h 3927255"/>
                  <a:gd name="connsiteX101" fmla="*/ 1439707 w 3912688"/>
                  <a:gd name="connsiteY101" fmla="*/ 299093 h 3927255"/>
                  <a:gd name="connsiteX102" fmla="*/ 1128215 w 3912688"/>
                  <a:gd name="connsiteY102" fmla="*/ 430675 h 3927255"/>
                  <a:gd name="connsiteX103" fmla="*/ 1114538 w 3912688"/>
                  <a:gd name="connsiteY103" fmla="*/ 438985 h 3927255"/>
                  <a:gd name="connsiteX104" fmla="*/ 1030544 w 3912688"/>
                  <a:gd name="connsiteY104" fmla="*/ 354992 h 3927255"/>
                  <a:gd name="connsiteX105" fmla="*/ 757704 w 3912688"/>
                  <a:gd name="connsiteY105" fmla="*/ 354992 h 3927255"/>
                  <a:gd name="connsiteX106" fmla="*/ 347466 w 3912688"/>
                  <a:gd name="connsiteY106" fmla="*/ 765231 h 3927255"/>
                  <a:gd name="connsiteX107" fmla="*/ 290958 w 3912688"/>
                  <a:gd name="connsiteY107" fmla="*/ 901651 h 3927255"/>
                  <a:gd name="connsiteX108" fmla="*/ 347466 w 3912688"/>
                  <a:gd name="connsiteY108" fmla="*/ 1038071 h 3927255"/>
                  <a:gd name="connsiteX109" fmla="*/ 432807 w 3912688"/>
                  <a:gd name="connsiteY109" fmla="*/ 1123413 h 3927255"/>
                  <a:gd name="connsiteX110" fmla="*/ 428674 w 3912688"/>
                  <a:gd name="connsiteY110" fmla="*/ 1130216 h 3927255"/>
                  <a:gd name="connsiteX111" fmla="*/ 297092 w 3912688"/>
                  <a:gd name="connsiteY111" fmla="*/ 1441707 h 3927255"/>
                  <a:gd name="connsiteX112" fmla="*/ 288446 w 3912688"/>
                  <a:gd name="connsiteY112" fmla="*/ 1475336 h 3927255"/>
                  <a:gd name="connsiteX113" fmla="*/ 182019 w 3912688"/>
                  <a:gd name="connsiteY113" fmla="*/ 1475336 h 3927255"/>
                  <a:gd name="connsiteX114" fmla="*/ 0 w 3912688"/>
                  <a:gd name="connsiteY114" fmla="*/ 1657355 h 39272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3912688" h="3927255">
                    <a:moveTo>
                      <a:pt x="205650" y="1768048"/>
                    </a:moveTo>
                    <a:lnTo>
                      <a:pt x="426783" y="1768048"/>
                    </a:lnTo>
                    <a:lnTo>
                      <a:pt x="431280" y="1728669"/>
                    </a:lnTo>
                    <a:cubicBezTo>
                      <a:pt x="466398" y="1498835"/>
                      <a:pt x="552229" y="1285690"/>
                      <a:pt x="676996" y="1101011"/>
                    </a:cubicBezTo>
                    <a:lnTo>
                      <a:pt x="740306" y="1016348"/>
                    </a:lnTo>
                    <a:lnTo>
                      <a:pt x="600055" y="876097"/>
                    </a:lnTo>
                    <a:lnTo>
                      <a:pt x="876647" y="599505"/>
                    </a:lnTo>
                    <a:lnTo>
                      <a:pt x="1018028" y="740887"/>
                    </a:lnTo>
                    <a:lnTo>
                      <a:pt x="1093727" y="684280"/>
                    </a:lnTo>
                    <a:cubicBezTo>
                      <a:pt x="1278406" y="559513"/>
                      <a:pt x="1491551" y="473682"/>
                      <a:pt x="1721384" y="438564"/>
                    </a:cubicBezTo>
                    <a:lnTo>
                      <a:pt x="1761169" y="434020"/>
                    </a:lnTo>
                    <a:lnTo>
                      <a:pt x="1761169" y="237372"/>
                    </a:lnTo>
                    <a:lnTo>
                      <a:pt x="2152329" y="237372"/>
                    </a:lnTo>
                    <a:lnTo>
                      <a:pt x="2152329" y="434200"/>
                    </a:lnTo>
                    <a:lnTo>
                      <a:pt x="2196088" y="439303"/>
                    </a:lnTo>
                    <a:cubicBezTo>
                      <a:pt x="2430472" y="475871"/>
                      <a:pt x="2647381" y="565202"/>
                      <a:pt x="2834284" y="694767"/>
                    </a:cubicBezTo>
                    <a:lnTo>
                      <a:pt x="2905278" y="748522"/>
                    </a:lnTo>
                    <a:lnTo>
                      <a:pt x="3059375" y="594425"/>
                    </a:lnTo>
                    <a:lnTo>
                      <a:pt x="3335966" y="871017"/>
                    </a:lnTo>
                    <a:lnTo>
                      <a:pt x="3180588" y="1026395"/>
                    </a:lnTo>
                    <a:lnTo>
                      <a:pt x="3203695" y="1055441"/>
                    </a:lnTo>
                    <a:cubicBezTo>
                      <a:pt x="3331226" y="1230298"/>
                      <a:pt x="3422882" y="1432990"/>
                      <a:pt x="3467840" y="1652692"/>
                    </a:cubicBezTo>
                    <a:lnTo>
                      <a:pt x="3485445" y="1768048"/>
                    </a:lnTo>
                    <a:lnTo>
                      <a:pt x="3705716" y="1768047"/>
                    </a:lnTo>
                    <a:lnTo>
                      <a:pt x="3705716" y="2159208"/>
                    </a:lnTo>
                    <a:lnTo>
                      <a:pt x="3485819" y="2159208"/>
                    </a:lnTo>
                    <a:lnTo>
                      <a:pt x="3480669" y="2203374"/>
                    </a:lnTo>
                    <a:cubicBezTo>
                      <a:pt x="3444101" y="2437758"/>
                      <a:pt x="3354770" y="2654666"/>
                      <a:pt x="3225205" y="2841569"/>
                    </a:cubicBezTo>
                    <a:lnTo>
                      <a:pt x="3188915" y="2889497"/>
                    </a:lnTo>
                    <a:lnTo>
                      <a:pt x="3354168" y="3054749"/>
                    </a:lnTo>
                    <a:lnTo>
                      <a:pt x="3077576" y="3331341"/>
                    </a:lnTo>
                    <a:lnTo>
                      <a:pt x="2916150" y="3169916"/>
                    </a:lnTo>
                    <a:lnTo>
                      <a:pt x="2864531" y="3210980"/>
                    </a:lnTo>
                    <a:cubicBezTo>
                      <a:pt x="2689674" y="3338511"/>
                      <a:pt x="2486983" y="3430167"/>
                      <a:pt x="2267281" y="3475124"/>
                    </a:cubicBezTo>
                    <a:lnTo>
                      <a:pt x="2152329" y="3492668"/>
                    </a:lnTo>
                    <a:lnTo>
                      <a:pt x="2152329" y="3679727"/>
                    </a:lnTo>
                    <a:lnTo>
                      <a:pt x="1761169" y="3679727"/>
                    </a:lnTo>
                    <a:lnTo>
                      <a:pt x="1761169" y="3493151"/>
                    </a:lnTo>
                    <a:lnTo>
                      <a:pt x="1716599" y="3487953"/>
                    </a:lnTo>
                    <a:cubicBezTo>
                      <a:pt x="1482215" y="3451386"/>
                      <a:pt x="1265307" y="3362054"/>
                      <a:pt x="1078403" y="3232489"/>
                    </a:cubicBezTo>
                    <a:lnTo>
                      <a:pt x="1008955" y="3179904"/>
                    </a:lnTo>
                    <a:lnTo>
                      <a:pt x="867678" y="3321181"/>
                    </a:lnTo>
                    <a:lnTo>
                      <a:pt x="591086" y="3044589"/>
                    </a:lnTo>
                    <a:lnTo>
                      <a:pt x="733302" y="2902373"/>
                    </a:lnTo>
                    <a:lnTo>
                      <a:pt x="708992" y="2871816"/>
                    </a:lnTo>
                    <a:cubicBezTo>
                      <a:pt x="581462" y="2696958"/>
                      <a:pt x="489806" y="2494267"/>
                      <a:pt x="444848" y="2274565"/>
                    </a:cubicBezTo>
                    <a:lnTo>
                      <a:pt x="427243" y="2159208"/>
                    </a:lnTo>
                    <a:lnTo>
                      <a:pt x="205650" y="2159208"/>
                    </a:lnTo>
                    <a:close/>
                    <a:moveTo>
                      <a:pt x="0" y="1657355"/>
                    </a:moveTo>
                    <a:lnTo>
                      <a:pt x="0" y="2259336"/>
                    </a:lnTo>
                    <a:cubicBezTo>
                      <a:pt x="0" y="2359862"/>
                      <a:pt x="81493" y="2441355"/>
                      <a:pt x="182019" y="2441355"/>
                    </a:cubicBezTo>
                    <a:lnTo>
                      <a:pt x="288446" y="2441355"/>
                    </a:lnTo>
                    <a:lnTo>
                      <a:pt x="297092" y="2474982"/>
                    </a:lnTo>
                    <a:cubicBezTo>
                      <a:pt x="330935" y="2583786"/>
                      <a:pt x="375183" y="2688005"/>
                      <a:pt x="428674" y="2786474"/>
                    </a:cubicBezTo>
                    <a:lnTo>
                      <a:pt x="438202" y="2802155"/>
                    </a:lnTo>
                    <a:lnTo>
                      <a:pt x="356981" y="2883377"/>
                    </a:lnTo>
                    <a:cubicBezTo>
                      <a:pt x="319309" y="2921048"/>
                      <a:pt x="300472" y="2970423"/>
                      <a:pt x="300472" y="3019797"/>
                    </a:cubicBezTo>
                    <a:cubicBezTo>
                      <a:pt x="300472" y="3069171"/>
                      <a:pt x="319309" y="3118545"/>
                      <a:pt x="356981" y="3156217"/>
                    </a:cubicBezTo>
                    <a:lnTo>
                      <a:pt x="767218" y="3566456"/>
                    </a:lnTo>
                    <a:cubicBezTo>
                      <a:pt x="842561" y="3641799"/>
                      <a:pt x="964715" y="3641799"/>
                      <a:pt x="1040058" y="3566456"/>
                    </a:cubicBezTo>
                    <a:lnTo>
                      <a:pt x="1123416" y="3483099"/>
                    </a:lnTo>
                    <a:lnTo>
                      <a:pt x="1128215" y="3486015"/>
                    </a:lnTo>
                    <a:cubicBezTo>
                      <a:pt x="1226684" y="3539507"/>
                      <a:pt x="1330903" y="3583755"/>
                      <a:pt x="1439708" y="3617597"/>
                    </a:cubicBezTo>
                    <a:lnTo>
                      <a:pt x="1487038" y="3629767"/>
                    </a:lnTo>
                    <a:lnTo>
                      <a:pt x="1487038" y="3730248"/>
                    </a:lnTo>
                    <a:cubicBezTo>
                      <a:pt x="1487038" y="3839052"/>
                      <a:pt x="1575241" y="3927255"/>
                      <a:pt x="1684045" y="3927255"/>
                    </a:cubicBezTo>
                    <a:lnTo>
                      <a:pt x="2256049" y="3927255"/>
                    </a:lnTo>
                    <a:cubicBezTo>
                      <a:pt x="2364853" y="3927255"/>
                      <a:pt x="2453056" y="3839052"/>
                      <a:pt x="2453056" y="3730248"/>
                    </a:cubicBezTo>
                    <a:lnTo>
                      <a:pt x="2453056" y="3622720"/>
                    </a:lnTo>
                    <a:lnTo>
                      <a:pt x="2472982" y="3617597"/>
                    </a:lnTo>
                    <a:cubicBezTo>
                      <a:pt x="2581785" y="3583755"/>
                      <a:pt x="2686004" y="3539507"/>
                      <a:pt x="2784473" y="3486015"/>
                    </a:cubicBezTo>
                    <a:lnTo>
                      <a:pt x="2806322" y="3472742"/>
                    </a:lnTo>
                    <a:lnTo>
                      <a:pt x="2900036" y="3566456"/>
                    </a:lnTo>
                    <a:cubicBezTo>
                      <a:pt x="2975379" y="3641799"/>
                      <a:pt x="3097533" y="3641799"/>
                      <a:pt x="3172876" y="3566456"/>
                    </a:cubicBezTo>
                    <a:lnTo>
                      <a:pt x="3583115" y="3156217"/>
                    </a:lnTo>
                    <a:cubicBezTo>
                      <a:pt x="3658458" y="3080874"/>
                      <a:pt x="3658458" y="2958720"/>
                      <a:pt x="3583115" y="2883377"/>
                    </a:cubicBezTo>
                    <a:lnTo>
                      <a:pt x="3484728" y="2784991"/>
                    </a:lnTo>
                    <a:lnTo>
                      <a:pt x="3557174" y="2634603"/>
                    </a:lnTo>
                    <a:cubicBezTo>
                      <a:pt x="3579152" y="2582640"/>
                      <a:pt x="3598675" y="2529384"/>
                      <a:pt x="3615596" y="2474982"/>
                    </a:cubicBezTo>
                    <a:lnTo>
                      <a:pt x="3622705" y="2447335"/>
                    </a:lnTo>
                    <a:lnTo>
                      <a:pt x="3729616" y="2447335"/>
                    </a:lnTo>
                    <a:cubicBezTo>
                      <a:pt x="3830724" y="2447335"/>
                      <a:pt x="3912688" y="2365371"/>
                      <a:pt x="3912688" y="2264263"/>
                    </a:cubicBezTo>
                    <a:lnTo>
                      <a:pt x="3912688" y="1664388"/>
                    </a:lnTo>
                    <a:cubicBezTo>
                      <a:pt x="3912688" y="1563280"/>
                      <a:pt x="3830724" y="1481316"/>
                      <a:pt x="3729616" y="1481316"/>
                    </a:cubicBezTo>
                    <a:lnTo>
                      <a:pt x="3625780" y="1481316"/>
                    </a:lnTo>
                    <a:lnTo>
                      <a:pt x="3615596" y="1441707"/>
                    </a:lnTo>
                    <a:cubicBezTo>
                      <a:pt x="3598675" y="1387305"/>
                      <a:pt x="3579152" y="1334050"/>
                      <a:pt x="3557173" y="1282086"/>
                    </a:cubicBezTo>
                    <a:lnTo>
                      <a:pt x="3486275" y="1134910"/>
                    </a:lnTo>
                    <a:lnTo>
                      <a:pt x="3583115" y="1038071"/>
                    </a:lnTo>
                    <a:cubicBezTo>
                      <a:pt x="3658458" y="962728"/>
                      <a:pt x="3658458" y="840574"/>
                      <a:pt x="3583115" y="765231"/>
                    </a:cubicBezTo>
                    <a:lnTo>
                      <a:pt x="3172876" y="354992"/>
                    </a:lnTo>
                    <a:cubicBezTo>
                      <a:pt x="3097533" y="279649"/>
                      <a:pt x="2975379" y="279649"/>
                      <a:pt x="2900036" y="354992"/>
                    </a:cubicBezTo>
                    <a:lnTo>
                      <a:pt x="2809282" y="445747"/>
                    </a:lnTo>
                    <a:lnTo>
                      <a:pt x="2784473" y="430675"/>
                    </a:lnTo>
                    <a:cubicBezTo>
                      <a:pt x="2686004" y="377183"/>
                      <a:pt x="2581785" y="332935"/>
                      <a:pt x="2472981" y="299093"/>
                    </a:cubicBezTo>
                    <a:lnTo>
                      <a:pt x="2453056" y="293970"/>
                    </a:lnTo>
                    <a:lnTo>
                      <a:pt x="2453056" y="197007"/>
                    </a:lnTo>
                    <a:cubicBezTo>
                      <a:pt x="2453056" y="88203"/>
                      <a:pt x="2364853" y="0"/>
                      <a:pt x="2256049" y="0"/>
                    </a:cubicBezTo>
                    <a:lnTo>
                      <a:pt x="1684045" y="0"/>
                    </a:lnTo>
                    <a:cubicBezTo>
                      <a:pt x="1575241" y="0"/>
                      <a:pt x="1487038" y="88203"/>
                      <a:pt x="1487038" y="197007"/>
                    </a:cubicBezTo>
                    <a:lnTo>
                      <a:pt x="1487038" y="286923"/>
                    </a:lnTo>
                    <a:lnTo>
                      <a:pt x="1439707" y="299093"/>
                    </a:lnTo>
                    <a:cubicBezTo>
                      <a:pt x="1330903" y="332935"/>
                      <a:pt x="1226684" y="377183"/>
                      <a:pt x="1128215" y="430675"/>
                    </a:cubicBezTo>
                    <a:lnTo>
                      <a:pt x="1114538" y="438985"/>
                    </a:lnTo>
                    <a:lnTo>
                      <a:pt x="1030544" y="354992"/>
                    </a:lnTo>
                    <a:cubicBezTo>
                      <a:pt x="955201" y="279649"/>
                      <a:pt x="833047" y="279649"/>
                      <a:pt x="757704" y="354992"/>
                    </a:cubicBezTo>
                    <a:lnTo>
                      <a:pt x="347466" y="765231"/>
                    </a:lnTo>
                    <a:cubicBezTo>
                      <a:pt x="309794" y="802902"/>
                      <a:pt x="290958" y="852276"/>
                      <a:pt x="290958" y="901651"/>
                    </a:cubicBezTo>
                    <a:cubicBezTo>
                      <a:pt x="290958" y="951025"/>
                      <a:pt x="309794" y="1000399"/>
                      <a:pt x="347466" y="1038071"/>
                    </a:cubicBezTo>
                    <a:lnTo>
                      <a:pt x="432807" y="1123413"/>
                    </a:lnTo>
                    <a:lnTo>
                      <a:pt x="428674" y="1130216"/>
                    </a:lnTo>
                    <a:cubicBezTo>
                      <a:pt x="375183" y="1228685"/>
                      <a:pt x="330934" y="1332904"/>
                      <a:pt x="297092" y="1441707"/>
                    </a:cubicBezTo>
                    <a:lnTo>
                      <a:pt x="288446" y="1475336"/>
                    </a:lnTo>
                    <a:lnTo>
                      <a:pt x="182019" y="1475336"/>
                    </a:lnTo>
                    <a:cubicBezTo>
                      <a:pt x="81493" y="1475336"/>
                      <a:pt x="0" y="1556829"/>
                      <a:pt x="0" y="1657355"/>
                    </a:cubicBez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8" name="Стрелка: вверх 94">
                <a:extLst>
                  <a:ext uri="{FF2B5EF4-FFF2-40B4-BE49-F238E27FC236}">
                    <a16:creationId xmlns:a16="http://schemas.microsoft.com/office/drawing/2014/main" id="{C1349C6F-CE46-444A-904E-F4E6DCA1FB06}"/>
                  </a:ext>
                </a:extLst>
              </xdr:cNvPr>
              <xdr:cNvSpPr/>
            </xdr:nvSpPr>
            <xdr:spPr>
              <a:xfrm rot="2740581">
                <a:off x="-879362" y="1042552"/>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9" name="Стрелка: вверх 95">
                <a:extLst>
                  <a:ext uri="{FF2B5EF4-FFF2-40B4-BE49-F238E27FC236}">
                    <a16:creationId xmlns:a16="http://schemas.microsoft.com/office/drawing/2014/main" id="{C28E6754-7129-4B14-B6EA-5DF2F37479FC}"/>
                  </a:ext>
                </a:extLst>
              </xdr:cNvPr>
              <xdr:cNvSpPr/>
            </xdr:nvSpPr>
            <xdr:spPr>
              <a:xfrm rot="5400000">
                <a:off x="-842935" y="1127078"/>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0" name="Стрелка: вверх 96">
                <a:extLst>
                  <a:ext uri="{FF2B5EF4-FFF2-40B4-BE49-F238E27FC236}">
                    <a16:creationId xmlns:a16="http://schemas.microsoft.com/office/drawing/2014/main" id="{8B3D51D4-E65F-41DC-9039-E2F09FD4A5F9}"/>
                  </a:ext>
                </a:extLst>
              </xdr:cNvPr>
              <xdr:cNvSpPr/>
            </xdr:nvSpPr>
            <xdr:spPr>
              <a:xfrm rot="18859419" flipV="1">
                <a:off x="-879362" y="1211603"/>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1" name="Полилиния: фигура 97">
                <a:extLst>
                  <a:ext uri="{FF2B5EF4-FFF2-40B4-BE49-F238E27FC236}">
                    <a16:creationId xmlns:a16="http://schemas.microsoft.com/office/drawing/2014/main" id="{B054CB1B-6792-4BFC-8FED-082F8BEF67BC}"/>
                  </a:ext>
                </a:extLst>
              </xdr:cNvPr>
              <xdr:cNvSpPr/>
            </xdr:nvSpPr>
            <xdr:spPr>
              <a:xfrm>
                <a:off x="-1154484" y="843089"/>
                <a:ext cx="759196" cy="776810"/>
              </a:xfrm>
              <a:custGeom>
                <a:avLst/>
                <a:gdLst>
                  <a:gd name="connsiteX0" fmla="*/ 1946623 w 2178050"/>
                  <a:gd name="connsiteY0" fmla="*/ 1417373 h 2228587"/>
                  <a:gd name="connsiteX1" fmla="*/ 2006452 w 2178050"/>
                  <a:gd name="connsiteY1" fmla="*/ 1548087 h 2228587"/>
                  <a:gd name="connsiteX2" fmla="*/ 1979608 w 2178050"/>
                  <a:gd name="connsiteY2" fmla="*/ 1603813 h 2228587"/>
                  <a:gd name="connsiteX3" fmla="*/ 1089025 w 2178050"/>
                  <a:gd name="connsiteY3" fmla="*/ 2133865 h 2228587"/>
                  <a:gd name="connsiteX4" fmla="*/ 1070803 w 2178050"/>
                  <a:gd name="connsiteY4" fmla="*/ 2132945 h 2228587"/>
                  <a:gd name="connsiteX5" fmla="*/ 1070803 w 2178050"/>
                  <a:gd name="connsiteY5" fmla="*/ 2228587 h 2228587"/>
                  <a:gd name="connsiteX6" fmla="*/ 751715 w 2178050"/>
                  <a:gd name="connsiteY6" fmla="*/ 2082537 h 2228587"/>
                  <a:gd name="connsiteX7" fmla="*/ 1070803 w 2178050"/>
                  <a:gd name="connsiteY7" fmla="*/ 1936487 h 2228587"/>
                  <a:gd name="connsiteX8" fmla="*/ 1070803 w 2178050"/>
                  <a:gd name="connsiteY8" fmla="*/ 2028170 h 2228587"/>
                  <a:gd name="connsiteX9" fmla="*/ 1089025 w 2178050"/>
                  <a:gd name="connsiteY9" fmla="*/ 2029090 h 2228587"/>
                  <a:gd name="connsiteX10" fmla="*/ 1925716 w 2178050"/>
                  <a:gd name="connsiteY10" fmla="*/ 1474494 h 2228587"/>
                  <a:gd name="connsiteX11" fmla="*/ 146050 w 2178050"/>
                  <a:gd name="connsiteY11" fmla="*/ 772848 h 2228587"/>
                  <a:gd name="connsiteX12" fmla="*/ 292100 w 2178050"/>
                  <a:gd name="connsiteY12" fmla="*/ 1091936 h 2228587"/>
                  <a:gd name="connsiteX13" fmla="*/ 182445 w 2178050"/>
                  <a:gd name="connsiteY13" fmla="*/ 1091936 h 2228587"/>
                  <a:gd name="connsiteX14" fmla="*/ 180975 w 2178050"/>
                  <a:gd name="connsiteY14" fmla="*/ 1121040 h 2228587"/>
                  <a:gd name="connsiteX15" fmla="*/ 735571 w 2178050"/>
                  <a:gd name="connsiteY15" fmla="*/ 1957731 h 2228587"/>
                  <a:gd name="connsiteX16" fmla="*/ 796925 w 2178050"/>
                  <a:gd name="connsiteY16" fmla="*/ 1980187 h 2228587"/>
                  <a:gd name="connsiteX17" fmla="*/ 796925 w 2178050"/>
                  <a:gd name="connsiteY17" fmla="*/ 1990794 h 2228587"/>
                  <a:gd name="connsiteX18" fmla="*/ 676980 w 2178050"/>
                  <a:gd name="connsiteY18" fmla="*/ 2045694 h 2228587"/>
                  <a:gd name="connsiteX19" fmla="*/ 606253 w 2178050"/>
                  <a:gd name="connsiteY19" fmla="*/ 2011623 h 2228587"/>
                  <a:gd name="connsiteX20" fmla="*/ 76200 w 2178050"/>
                  <a:gd name="connsiteY20" fmla="*/ 1121040 h 2228587"/>
                  <a:gd name="connsiteX21" fmla="*/ 77670 w 2178050"/>
                  <a:gd name="connsiteY21" fmla="*/ 1091936 h 2228587"/>
                  <a:gd name="connsiteX22" fmla="*/ 0 w 2178050"/>
                  <a:gd name="connsiteY22" fmla="*/ 1091936 h 2228587"/>
                  <a:gd name="connsiteX23" fmla="*/ 1488809 w 2178050"/>
                  <a:gd name="connsiteY23" fmla="*/ 190480 h 2228587"/>
                  <a:gd name="connsiteX24" fmla="*/ 1571798 w 2178050"/>
                  <a:gd name="connsiteY24" fmla="*/ 230458 h 2228587"/>
                  <a:gd name="connsiteX25" fmla="*/ 2101850 w 2178050"/>
                  <a:gd name="connsiteY25" fmla="*/ 1121040 h 2228587"/>
                  <a:gd name="connsiteX26" fmla="*/ 2100795 w 2178050"/>
                  <a:gd name="connsiteY26" fmla="*/ 1141941 h 2228587"/>
                  <a:gd name="connsiteX27" fmla="*/ 2178050 w 2178050"/>
                  <a:gd name="connsiteY27" fmla="*/ 1141941 h 2228587"/>
                  <a:gd name="connsiteX28" fmla="*/ 2032000 w 2178050"/>
                  <a:gd name="connsiteY28" fmla="*/ 1461029 h 2228587"/>
                  <a:gd name="connsiteX29" fmla="*/ 1885950 w 2178050"/>
                  <a:gd name="connsiteY29" fmla="*/ 1141941 h 2228587"/>
                  <a:gd name="connsiteX30" fmla="*/ 1996020 w 2178050"/>
                  <a:gd name="connsiteY30" fmla="*/ 1141941 h 2228587"/>
                  <a:gd name="connsiteX31" fmla="*/ 1997075 w 2178050"/>
                  <a:gd name="connsiteY31" fmla="*/ 1121040 h 2228587"/>
                  <a:gd name="connsiteX32" fmla="*/ 1359051 w 2178050"/>
                  <a:gd name="connsiteY32" fmla="*/ 253814 h 2228587"/>
                  <a:gd name="connsiteX33" fmla="*/ 1353535 w 2178050"/>
                  <a:gd name="connsiteY33" fmla="*/ 252396 h 2228587"/>
                  <a:gd name="connsiteX34" fmla="*/ 1112043 w 2178050"/>
                  <a:gd name="connsiteY34" fmla="*/ 0 h 2228587"/>
                  <a:gd name="connsiteX35" fmla="*/ 1431131 w 2178050"/>
                  <a:gd name="connsiteY35" fmla="*/ 146050 h 2228587"/>
                  <a:gd name="connsiteX36" fmla="*/ 1112043 w 2178050"/>
                  <a:gd name="connsiteY36" fmla="*/ 292100 h 2228587"/>
                  <a:gd name="connsiteX37" fmla="*/ 1112043 w 2178050"/>
                  <a:gd name="connsiteY37" fmla="*/ 214152 h 2228587"/>
                  <a:gd name="connsiteX38" fmla="*/ 1089025 w 2178050"/>
                  <a:gd name="connsiteY38" fmla="*/ 212990 h 2228587"/>
                  <a:gd name="connsiteX39" fmla="*/ 252334 w 2178050"/>
                  <a:gd name="connsiteY39" fmla="*/ 767586 h 2228587"/>
                  <a:gd name="connsiteX40" fmla="*/ 231362 w 2178050"/>
                  <a:gd name="connsiteY40" fmla="*/ 824886 h 2228587"/>
                  <a:gd name="connsiteX41" fmla="*/ 171523 w 2178050"/>
                  <a:gd name="connsiteY41" fmla="*/ 694150 h 2228587"/>
                  <a:gd name="connsiteX42" fmla="*/ 198443 w 2178050"/>
                  <a:gd name="connsiteY42" fmla="*/ 638267 h 2228587"/>
                  <a:gd name="connsiteX43" fmla="*/ 1089025 w 2178050"/>
                  <a:gd name="connsiteY43" fmla="*/ 108215 h 2228587"/>
                  <a:gd name="connsiteX44" fmla="*/ 1112043 w 2178050"/>
                  <a:gd name="connsiteY44" fmla="*/ 109377 h 2228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2178050" h="2228587">
                    <a:moveTo>
                      <a:pt x="1946623" y="1417373"/>
                    </a:moveTo>
                    <a:lnTo>
                      <a:pt x="2006452" y="1548087"/>
                    </a:lnTo>
                    <a:lnTo>
                      <a:pt x="1979608" y="1603813"/>
                    </a:lnTo>
                    <a:cubicBezTo>
                      <a:pt x="1808097" y="1919536"/>
                      <a:pt x="1473591" y="2133865"/>
                      <a:pt x="1089025" y="2133865"/>
                    </a:cubicBezTo>
                    <a:lnTo>
                      <a:pt x="1070803" y="2132945"/>
                    </a:lnTo>
                    <a:lnTo>
                      <a:pt x="1070803" y="2228587"/>
                    </a:lnTo>
                    <a:lnTo>
                      <a:pt x="751715" y="2082537"/>
                    </a:lnTo>
                    <a:lnTo>
                      <a:pt x="1070803" y="1936487"/>
                    </a:lnTo>
                    <a:lnTo>
                      <a:pt x="1070803" y="2028170"/>
                    </a:lnTo>
                    <a:lnTo>
                      <a:pt x="1089025" y="2029090"/>
                    </a:lnTo>
                    <a:cubicBezTo>
                      <a:pt x="1465152" y="2029090"/>
                      <a:pt x="1787867" y="1800407"/>
                      <a:pt x="1925716" y="1474494"/>
                    </a:cubicBezTo>
                    <a:close/>
                    <a:moveTo>
                      <a:pt x="146050" y="772848"/>
                    </a:moveTo>
                    <a:lnTo>
                      <a:pt x="292100" y="1091936"/>
                    </a:lnTo>
                    <a:lnTo>
                      <a:pt x="182445" y="1091936"/>
                    </a:lnTo>
                    <a:lnTo>
                      <a:pt x="180975" y="1121040"/>
                    </a:lnTo>
                    <a:cubicBezTo>
                      <a:pt x="180975" y="1497167"/>
                      <a:pt x="409658" y="1819882"/>
                      <a:pt x="735571" y="1957731"/>
                    </a:cubicBezTo>
                    <a:lnTo>
                      <a:pt x="796925" y="1980187"/>
                    </a:lnTo>
                    <a:lnTo>
                      <a:pt x="796925" y="1990794"/>
                    </a:lnTo>
                    <a:lnTo>
                      <a:pt x="676980" y="2045694"/>
                    </a:lnTo>
                    <a:lnTo>
                      <a:pt x="606253" y="2011623"/>
                    </a:lnTo>
                    <a:cubicBezTo>
                      <a:pt x="290529" y="1840112"/>
                      <a:pt x="76200" y="1505606"/>
                      <a:pt x="76200" y="1121040"/>
                    </a:cubicBezTo>
                    <a:lnTo>
                      <a:pt x="77670" y="1091936"/>
                    </a:lnTo>
                    <a:lnTo>
                      <a:pt x="0" y="1091936"/>
                    </a:lnTo>
                    <a:close/>
                    <a:moveTo>
                      <a:pt x="1488809" y="190480"/>
                    </a:moveTo>
                    <a:lnTo>
                      <a:pt x="1571798" y="230458"/>
                    </a:lnTo>
                    <a:cubicBezTo>
                      <a:pt x="1887521" y="401969"/>
                      <a:pt x="2101850" y="736475"/>
                      <a:pt x="2101850" y="1121040"/>
                    </a:cubicBezTo>
                    <a:lnTo>
                      <a:pt x="2100795" y="1141941"/>
                    </a:lnTo>
                    <a:lnTo>
                      <a:pt x="2178050" y="1141941"/>
                    </a:lnTo>
                    <a:lnTo>
                      <a:pt x="2032000" y="1461029"/>
                    </a:lnTo>
                    <a:lnTo>
                      <a:pt x="1885950" y="1141941"/>
                    </a:lnTo>
                    <a:lnTo>
                      <a:pt x="1996020" y="1141941"/>
                    </a:lnTo>
                    <a:lnTo>
                      <a:pt x="1997075" y="1121040"/>
                    </a:lnTo>
                    <a:cubicBezTo>
                      <a:pt x="1997075" y="713570"/>
                      <a:pt x="1728690" y="368784"/>
                      <a:pt x="1359051" y="253814"/>
                    </a:cubicBezTo>
                    <a:lnTo>
                      <a:pt x="1353535" y="252396"/>
                    </a:lnTo>
                    <a:close/>
                    <a:moveTo>
                      <a:pt x="1112043" y="0"/>
                    </a:moveTo>
                    <a:lnTo>
                      <a:pt x="1431131" y="146050"/>
                    </a:lnTo>
                    <a:lnTo>
                      <a:pt x="1112043" y="292100"/>
                    </a:lnTo>
                    <a:lnTo>
                      <a:pt x="1112043" y="214152"/>
                    </a:lnTo>
                    <a:lnTo>
                      <a:pt x="1089025" y="212990"/>
                    </a:lnTo>
                    <a:cubicBezTo>
                      <a:pt x="712899" y="212990"/>
                      <a:pt x="390184" y="441673"/>
                      <a:pt x="252334" y="767586"/>
                    </a:cubicBezTo>
                    <a:lnTo>
                      <a:pt x="231362" y="824886"/>
                    </a:lnTo>
                    <a:lnTo>
                      <a:pt x="171523" y="694150"/>
                    </a:lnTo>
                    <a:lnTo>
                      <a:pt x="198443" y="638267"/>
                    </a:lnTo>
                    <a:cubicBezTo>
                      <a:pt x="369954" y="322544"/>
                      <a:pt x="704460" y="108215"/>
                      <a:pt x="1089025" y="108215"/>
                    </a:cubicBezTo>
                    <a:lnTo>
                      <a:pt x="1112043" y="109377"/>
                    </a:ln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2" name="Овал 51">
                <a:extLst>
                  <a:ext uri="{FF2B5EF4-FFF2-40B4-BE49-F238E27FC236}">
                    <a16:creationId xmlns:a16="http://schemas.microsoft.com/office/drawing/2014/main" id="{A2DE6C64-AB42-48ED-9D6D-E66A8088FA4F}"/>
                  </a:ext>
                </a:extLst>
              </xdr:cNvPr>
              <xdr:cNvSpPr/>
            </xdr:nvSpPr>
            <xdr:spPr>
              <a:xfrm>
                <a:off x="-671885" y="1180112"/>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3" name="Овал 52">
                <a:extLst>
                  <a:ext uri="{FF2B5EF4-FFF2-40B4-BE49-F238E27FC236}">
                    <a16:creationId xmlns:a16="http://schemas.microsoft.com/office/drawing/2014/main" id="{B8E7B312-8D78-4247-B646-12EF06D777D9}"/>
                  </a:ext>
                </a:extLst>
              </xdr:cNvPr>
              <xdr:cNvSpPr/>
            </xdr:nvSpPr>
            <xdr:spPr>
              <a:xfrm>
                <a:off x="-758760" y="974818"/>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4" name="Овал 53">
                <a:extLst>
                  <a:ext uri="{FF2B5EF4-FFF2-40B4-BE49-F238E27FC236}">
                    <a16:creationId xmlns:a16="http://schemas.microsoft.com/office/drawing/2014/main" id="{340A3A3A-72FB-484B-84D2-C43A9F35D4F0}"/>
                  </a:ext>
                </a:extLst>
              </xdr:cNvPr>
              <xdr:cNvSpPr/>
            </xdr:nvSpPr>
            <xdr:spPr>
              <a:xfrm>
                <a:off x="-764294" y="1394257"/>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5" name="Овал 54">
                <a:extLst>
                  <a:ext uri="{FF2B5EF4-FFF2-40B4-BE49-F238E27FC236}">
                    <a16:creationId xmlns:a16="http://schemas.microsoft.com/office/drawing/2014/main" id="{6F9CD131-84C4-44F6-A075-7DE2AB733EA5}"/>
                  </a:ext>
                </a:extLst>
              </xdr:cNvPr>
              <xdr:cNvSpPr/>
            </xdr:nvSpPr>
            <xdr:spPr>
              <a:xfrm>
                <a:off x="-1041196" y="1146683"/>
                <a:ext cx="176266" cy="17626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6" name="Овал 55">
                <a:extLst>
                  <a:ext uri="{FF2B5EF4-FFF2-40B4-BE49-F238E27FC236}">
                    <a16:creationId xmlns:a16="http://schemas.microsoft.com/office/drawing/2014/main" id="{2F51FC0D-28D7-4362-B291-8D79511809D5}"/>
                  </a:ext>
                </a:extLst>
              </xdr:cNvPr>
              <xdr:cNvSpPr/>
            </xdr:nvSpPr>
            <xdr:spPr>
              <a:xfrm>
                <a:off x="-1007768" y="1180112"/>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grpSp>
          <xdr:nvGrpSpPr>
            <xdr:cNvPr id="39" name="Группа 38">
              <a:extLst>
                <a:ext uri="{FF2B5EF4-FFF2-40B4-BE49-F238E27FC236}">
                  <a16:creationId xmlns:a16="http://schemas.microsoft.com/office/drawing/2014/main" id="{9947B611-4097-4F24-B340-F5BD5490D41D}"/>
                </a:ext>
              </a:extLst>
            </xdr:cNvPr>
            <xdr:cNvGrpSpPr>
              <a:grpSpLocks noChangeAspect="1"/>
            </xdr:cNvGrpSpPr>
          </xdr:nvGrpSpPr>
          <xdr:grpSpPr>
            <a:xfrm>
              <a:off x="5673031" y="5530998"/>
              <a:ext cx="360435" cy="567382"/>
              <a:chOff x="606861" y="1802438"/>
              <a:chExt cx="199023" cy="313294"/>
            </a:xfrm>
          </xdr:grpSpPr>
          <xdr:sp macro="" textlink="">
            <xdr:nvSpPr>
              <xdr:cNvPr id="42" name="Скругленный прямоугольник 41">
                <a:extLst>
                  <a:ext uri="{FF2B5EF4-FFF2-40B4-BE49-F238E27FC236}">
                    <a16:creationId xmlns:a16="http://schemas.microsoft.com/office/drawing/2014/main" id="{04C25F99-F79C-4922-9B52-9D9D5F0A7FEE}"/>
                  </a:ext>
                </a:extLst>
              </xdr:cNvPr>
              <xdr:cNvSpPr/>
            </xdr:nvSpPr>
            <xdr:spPr>
              <a:xfrm>
                <a:off x="606861" y="1802438"/>
                <a:ext cx="199023" cy="313294"/>
              </a:xfrm>
              <a:prstGeom prst="roundRect">
                <a:avLst>
                  <a:gd name="adj" fmla="val 9968"/>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3" name="Скругленный прямоугольник 42">
                <a:extLst>
                  <a:ext uri="{FF2B5EF4-FFF2-40B4-BE49-F238E27FC236}">
                    <a16:creationId xmlns:a16="http://schemas.microsoft.com/office/drawing/2014/main" id="{BC4EB8D7-0EDB-48D2-A8B7-9CC44BA7B49A}"/>
                  </a:ext>
                </a:extLst>
              </xdr:cNvPr>
              <xdr:cNvSpPr/>
            </xdr:nvSpPr>
            <xdr:spPr>
              <a:xfrm>
                <a:off x="641380" y="1855764"/>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Скругленный прямоугольник 43">
                <a:extLst>
                  <a:ext uri="{FF2B5EF4-FFF2-40B4-BE49-F238E27FC236}">
                    <a16:creationId xmlns:a16="http://schemas.microsoft.com/office/drawing/2014/main" id="{5CC7B5F6-264E-4C50-BD78-DBF414EAA174}"/>
                  </a:ext>
                </a:extLst>
              </xdr:cNvPr>
              <xdr:cNvSpPr/>
            </xdr:nvSpPr>
            <xdr:spPr>
              <a:xfrm>
                <a:off x="641380" y="1905281"/>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5" name="Скругленный прямоугольник 44">
                <a:extLst>
                  <a:ext uri="{FF2B5EF4-FFF2-40B4-BE49-F238E27FC236}">
                    <a16:creationId xmlns:a16="http://schemas.microsoft.com/office/drawing/2014/main" id="{4B67BFD7-6EC2-4921-98D0-059BFCD468CA}"/>
                  </a:ext>
                </a:extLst>
              </xdr:cNvPr>
              <xdr:cNvSpPr/>
            </xdr:nvSpPr>
            <xdr:spPr>
              <a:xfrm>
                <a:off x="641380" y="1954799"/>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6" name="Овал 45">
                <a:extLst>
                  <a:ext uri="{FF2B5EF4-FFF2-40B4-BE49-F238E27FC236}">
                    <a16:creationId xmlns:a16="http://schemas.microsoft.com/office/drawing/2014/main" id="{5C197C34-5E18-4668-B528-17FBE0F7BAB5}"/>
                  </a:ext>
                </a:extLst>
              </xdr:cNvPr>
              <xdr:cNvSpPr/>
            </xdr:nvSpPr>
            <xdr:spPr>
              <a:xfrm>
                <a:off x="685899" y="2048122"/>
                <a:ext cx="40947" cy="40947"/>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xnSp macro="">
          <xdr:nvCxnSpPr>
            <xdr:cNvPr id="40" name="Соединитель: уступ 86">
              <a:extLst>
                <a:ext uri="{FF2B5EF4-FFF2-40B4-BE49-F238E27FC236}">
                  <a16:creationId xmlns:a16="http://schemas.microsoft.com/office/drawing/2014/main" id="{1DD2C8C0-B9A4-4861-82D3-5DDEA992F719}"/>
                </a:ext>
              </a:extLst>
            </xdr:cNvPr>
            <xdr:cNvCxnSpPr>
              <a:cxnSpLocks/>
              <a:endCxn id="37" idx="3"/>
            </xdr:cNvCxnSpPr>
          </xdr:nvCxnSpPr>
          <xdr:spPr>
            <a:xfrm rot="16200000" flipV="1">
              <a:off x="2866277" y="5115499"/>
              <a:ext cx="465770" cy="388408"/>
            </a:xfrm>
            <a:prstGeom prst="bentConnector2">
              <a:avLst/>
            </a:prstGeom>
            <a:ln>
              <a:solidFill>
                <a:schemeClr val="bg1">
                  <a:lumMod val="75000"/>
                </a:schemeClr>
              </a:solidFill>
              <a:headEnd type="none"/>
              <a:tailEnd type="oval"/>
            </a:ln>
          </xdr:spPr>
          <xdr:style>
            <a:lnRef idx="1">
              <a:schemeClr val="accent1"/>
            </a:lnRef>
            <a:fillRef idx="0">
              <a:schemeClr val="accent1"/>
            </a:fillRef>
            <a:effectRef idx="0">
              <a:schemeClr val="accent1"/>
            </a:effectRef>
            <a:fontRef idx="minor">
              <a:schemeClr val="tx1"/>
            </a:fontRef>
          </xdr:style>
        </xdr:cxnSp>
        <xdr:cxnSp macro="">
          <xdr:nvCxnSpPr>
            <xdr:cNvPr id="41" name="Прямая соединительная линия 40">
              <a:extLst>
                <a:ext uri="{FF2B5EF4-FFF2-40B4-BE49-F238E27FC236}">
                  <a16:creationId xmlns:a16="http://schemas.microsoft.com/office/drawing/2014/main" id="{BBBEB1A6-5FB4-451D-BC0B-7C90F7BAD156}"/>
                </a:ext>
              </a:extLst>
            </xdr:cNvPr>
            <xdr:cNvCxnSpPr>
              <a:cxnSpLocks/>
            </xdr:cNvCxnSpPr>
          </xdr:nvCxnSpPr>
          <xdr:spPr>
            <a:xfrm>
              <a:off x="2904958" y="4775348"/>
              <a:ext cx="0" cy="60294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6</xdr:col>
      <xdr:colOff>68581</xdr:colOff>
      <xdr:row>41</xdr:row>
      <xdr:rowOff>114300</xdr:rowOff>
    </xdr:from>
    <xdr:to>
      <xdr:col>15</xdr:col>
      <xdr:colOff>83821</xdr:colOff>
      <xdr:row>44</xdr:row>
      <xdr:rowOff>133042</xdr:rowOff>
    </xdr:to>
    <xdr:sp macro="" textlink="">
      <xdr:nvSpPr>
        <xdr:cNvPr id="129" name="Заголовок 1">
          <a:extLst>
            <a:ext uri="{FF2B5EF4-FFF2-40B4-BE49-F238E27FC236}">
              <a16:creationId xmlns:a16="http://schemas.microsoft.com/office/drawing/2014/main" id="{7F7F1E1F-5558-4084-A693-5BF6EDC305A2}"/>
            </a:ext>
          </a:extLst>
        </xdr:cNvPr>
        <xdr:cNvSpPr>
          <a:spLocks noGrp="1"/>
        </xdr:cNvSpPr>
      </xdr:nvSpPr>
      <xdr:spPr>
        <a:xfrm>
          <a:off x="3726181" y="9075420"/>
          <a:ext cx="5501640" cy="567382"/>
        </a:xfrm>
        <a:prstGeom prst="rect">
          <a:avLst/>
        </a:prstGeom>
      </xdr:spPr>
      <xdr:txBody>
        <a:bodyPr wrap="square" lIns="91440" tIns="45720" rIns="91440" bIns="45720" anchor="ctr" anchorCtr="0">
          <a:noAutofit/>
        </a:bodyPr>
        <a:lstStyle>
          <a:lvl1pPr marL="0" indent="0" algn="l" defTabSz="914400" rtl="0" eaLnBrk="1" latinLnBrk="0" hangingPunct="1">
            <a:lnSpc>
              <a:spcPct val="100000"/>
            </a:lnSpc>
            <a:spcBef>
              <a:spcPct val="0"/>
            </a:spcBef>
            <a:spcAft>
              <a:spcPts val="0"/>
            </a:spcAft>
            <a:buFontTx/>
            <a:buNone/>
            <a:defRPr sz="2800" b="1" i="0" kern="1200" cap="all" baseline="0">
              <a:solidFill>
                <a:schemeClr val="tx1"/>
              </a:solidFill>
              <a:latin typeface="Segoe UI Black" panose="020B0604020202020204" charset="0"/>
              <a:ea typeface="+mj-ea"/>
              <a:cs typeface="+mj-cs"/>
            </a:defRPr>
          </a:lvl1pPr>
        </a:lstStyle>
        <a:p>
          <a:r>
            <a:rPr lang="ru-RU"/>
            <a:t>ЧТО НАДО ЗАЩИЩАТЬ?</a:t>
          </a:r>
          <a:endParaRPr lang="en-US"/>
        </a:p>
      </xdr:txBody>
    </xdr:sp>
    <xdr:clientData/>
  </xdr:twoCellAnchor>
  <xdr:twoCellAnchor>
    <xdr:from>
      <xdr:col>6</xdr:col>
      <xdr:colOff>195063</xdr:colOff>
      <xdr:row>59</xdr:row>
      <xdr:rowOff>11758</xdr:rowOff>
    </xdr:from>
    <xdr:to>
      <xdr:col>8</xdr:col>
      <xdr:colOff>63831</xdr:colOff>
      <xdr:row>65</xdr:row>
      <xdr:rowOff>2446</xdr:rowOff>
    </xdr:to>
    <xdr:sp macro="" textlink="">
      <xdr:nvSpPr>
        <xdr:cNvPr id="131" name="Полилиния: фигура 3">
          <a:extLst>
            <a:ext uri="{FF2B5EF4-FFF2-40B4-BE49-F238E27FC236}">
              <a16:creationId xmlns:a16="http://schemas.microsoft.com/office/drawing/2014/main" id="{34F8F467-F09B-4F34-A94A-05663FA5337B}"/>
            </a:ext>
          </a:extLst>
        </xdr:cNvPr>
        <xdr:cNvSpPr/>
      </xdr:nvSpPr>
      <xdr:spPr bwMode="auto">
        <a:xfrm>
          <a:off x="3852663" y="12264718"/>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8</xdr:col>
      <xdr:colOff>597229</xdr:colOff>
      <xdr:row>62</xdr:row>
      <xdr:rowOff>131984</xdr:rowOff>
    </xdr:from>
    <xdr:to>
      <xdr:col>10</xdr:col>
      <xdr:colOff>465997</xdr:colOff>
      <xdr:row>68</xdr:row>
      <xdr:rowOff>122672</xdr:rowOff>
    </xdr:to>
    <xdr:sp macro="" textlink="">
      <xdr:nvSpPr>
        <xdr:cNvPr id="132" name="Полилиния: фигура 4">
          <a:extLst>
            <a:ext uri="{FF2B5EF4-FFF2-40B4-BE49-F238E27FC236}">
              <a16:creationId xmlns:a16="http://schemas.microsoft.com/office/drawing/2014/main" id="{6E6F0901-0112-4CA6-8B03-DFD98B04CE6D}"/>
            </a:ext>
          </a:extLst>
        </xdr:cNvPr>
        <xdr:cNvSpPr/>
      </xdr:nvSpPr>
      <xdr:spPr bwMode="auto">
        <a:xfrm>
          <a:off x="5474029" y="12933584"/>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389795</xdr:colOff>
      <xdr:row>59</xdr:row>
      <xdr:rowOff>11758</xdr:rowOff>
    </xdr:from>
    <xdr:to>
      <xdr:col>13</xdr:col>
      <xdr:colOff>258563</xdr:colOff>
      <xdr:row>65</xdr:row>
      <xdr:rowOff>2446</xdr:rowOff>
    </xdr:to>
    <xdr:sp macro="" textlink="">
      <xdr:nvSpPr>
        <xdr:cNvPr id="133" name="Полилиния: фигура 5">
          <a:extLst>
            <a:ext uri="{FF2B5EF4-FFF2-40B4-BE49-F238E27FC236}">
              <a16:creationId xmlns:a16="http://schemas.microsoft.com/office/drawing/2014/main" id="{054801E7-5B04-4BD1-90CC-15C00035F88D}"/>
            </a:ext>
          </a:extLst>
        </xdr:cNvPr>
        <xdr:cNvSpPr/>
      </xdr:nvSpPr>
      <xdr:spPr bwMode="auto">
        <a:xfrm>
          <a:off x="7095395" y="12264718"/>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12</xdr:col>
      <xdr:colOff>444829</xdr:colOff>
      <xdr:row>50</xdr:row>
      <xdr:rowOff>32078</xdr:rowOff>
    </xdr:from>
    <xdr:to>
      <xdr:col>14</xdr:col>
      <xdr:colOff>313597</xdr:colOff>
      <xdr:row>56</xdr:row>
      <xdr:rowOff>22766</xdr:rowOff>
    </xdr:to>
    <xdr:sp macro="" textlink="">
      <xdr:nvSpPr>
        <xdr:cNvPr id="134" name="Полилиния: фигура 6">
          <a:extLst>
            <a:ext uri="{FF2B5EF4-FFF2-40B4-BE49-F238E27FC236}">
              <a16:creationId xmlns:a16="http://schemas.microsoft.com/office/drawing/2014/main" id="{3126CC9C-1EF6-46FA-A305-DD6397A3272B}"/>
            </a:ext>
          </a:extLst>
        </xdr:cNvPr>
        <xdr:cNvSpPr/>
      </xdr:nvSpPr>
      <xdr:spPr bwMode="auto">
        <a:xfrm>
          <a:off x="7760029" y="10639118"/>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5</xdr:col>
      <xdr:colOff>140029</xdr:colOff>
      <xdr:row>50</xdr:row>
      <xdr:rowOff>32078</xdr:rowOff>
    </xdr:from>
    <xdr:to>
      <xdr:col>7</xdr:col>
      <xdr:colOff>8797</xdr:colOff>
      <xdr:row>56</xdr:row>
      <xdr:rowOff>22766</xdr:rowOff>
    </xdr:to>
    <xdr:sp macro="" textlink="">
      <xdr:nvSpPr>
        <xdr:cNvPr id="135" name="Полилиния: фигура 7">
          <a:extLst>
            <a:ext uri="{FF2B5EF4-FFF2-40B4-BE49-F238E27FC236}">
              <a16:creationId xmlns:a16="http://schemas.microsoft.com/office/drawing/2014/main" id="{3B0E458E-B483-41E4-9394-EAA803991D29}"/>
            </a:ext>
          </a:extLst>
        </xdr:cNvPr>
        <xdr:cNvSpPr/>
      </xdr:nvSpPr>
      <xdr:spPr bwMode="auto">
        <a:xfrm>
          <a:off x="3188029" y="10639118"/>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269540</xdr:colOff>
      <xdr:row>53</xdr:row>
      <xdr:rowOff>45195</xdr:rowOff>
    </xdr:from>
    <xdr:to>
      <xdr:col>12</xdr:col>
      <xdr:colOff>184089</xdr:colOff>
      <xdr:row>61</xdr:row>
      <xdr:rowOff>40124</xdr:rowOff>
    </xdr:to>
    <xdr:sp macro="" textlink="">
      <xdr:nvSpPr>
        <xdr:cNvPr id="136" name="Полилиния: фигура 8">
          <a:extLst>
            <a:ext uri="{FF2B5EF4-FFF2-40B4-BE49-F238E27FC236}">
              <a16:creationId xmlns:a16="http://schemas.microsoft.com/office/drawing/2014/main" id="{ECE587B1-8677-421D-8057-4636123AF238}"/>
            </a:ext>
          </a:extLst>
        </xdr:cNvPr>
        <xdr:cNvSpPr/>
      </xdr:nvSpPr>
      <xdr:spPr bwMode="auto">
        <a:xfrm>
          <a:off x="4536740" y="11200875"/>
          <a:ext cx="2962549" cy="1457969"/>
        </a:xfrm>
        <a:custGeom>
          <a:avLst/>
          <a:gdLst>
            <a:gd name="connsiteX0" fmla="*/ 0 w 2962549"/>
            <a:gd name="connsiteY0" fmla="*/ 0 h 1457969"/>
            <a:gd name="connsiteX1" fmla="*/ 78705 w 2962549"/>
            <a:gd name="connsiteY1" fmla="*/ 0 h 1457969"/>
            <a:gd name="connsiteX2" fmla="*/ 84713 w 2962549"/>
            <a:gd name="connsiteY2" fmla="*/ 118986 h 1457969"/>
            <a:gd name="connsiteX3" fmla="*/ 1481274 w 2962549"/>
            <a:gd name="connsiteY3" fmla="*/ 1379264 h 1457969"/>
            <a:gd name="connsiteX4" fmla="*/ 2877836 w 2962549"/>
            <a:gd name="connsiteY4" fmla="*/ 118986 h 1457969"/>
            <a:gd name="connsiteX5" fmla="*/ 2883844 w 2962549"/>
            <a:gd name="connsiteY5" fmla="*/ 0 h 1457969"/>
            <a:gd name="connsiteX6" fmla="*/ 2962549 w 2962549"/>
            <a:gd name="connsiteY6" fmla="*/ 0 h 1457969"/>
            <a:gd name="connsiteX7" fmla="*/ 2956134 w 2962549"/>
            <a:gd name="connsiteY7" fmla="*/ 127034 h 1457969"/>
            <a:gd name="connsiteX8" fmla="*/ 1481274 w 2962549"/>
            <a:gd name="connsiteY8" fmla="*/ 1457969 h 1457969"/>
            <a:gd name="connsiteX9" fmla="*/ 6414 w 2962549"/>
            <a:gd name="connsiteY9" fmla="*/ 127034 h 14579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962549" h="1457969">
              <a:moveTo>
                <a:pt x="0" y="0"/>
              </a:moveTo>
              <a:lnTo>
                <a:pt x="78705" y="0"/>
              </a:lnTo>
              <a:lnTo>
                <a:pt x="84713" y="118986"/>
              </a:lnTo>
              <a:cubicBezTo>
                <a:pt x="156602" y="826865"/>
                <a:pt x="754429" y="1379264"/>
                <a:pt x="1481274" y="1379264"/>
              </a:cubicBezTo>
              <a:cubicBezTo>
                <a:pt x="2208120" y="1379264"/>
                <a:pt x="2805946" y="826865"/>
                <a:pt x="2877836" y="118986"/>
              </a:cubicBezTo>
              <a:lnTo>
                <a:pt x="2883844" y="0"/>
              </a:lnTo>
              <a:lnTo>
                <a:pt x="2962549" y="0"/>
              </a:lnTo>
              <a:lnTo>
                <a:pt x="2956134" y="127034"/>
              </a:lnTo>
              <a:cubicBezTo>
                <a:pt x="2880215" y="874600"/>
                <a:pt x="2248871" y="1457969"/>
                <a:pt x="1481274" y="1457969"/>
              </a:cubicBezTo>
              <a:cubicBezTo>
                <a:pt x="713677" y="1457969"/>
                <a:pt x="82334" y="874600"/>
                <a:pt x="6414" y="127034"/>
              </a:cubicBezTo>
              <a:close/>
            </a:path>
          </a:pathLst>
        </a:cu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606965</xdr:colOff>
      <xdr:row>46</xdr:row>
      <xdr:rowOff>156961</xdr:rowOff>
    </xdr:from>
    <xdr:to>
      <xdr:col>11</xdr:col>
      <xdr:colOff>456261</xdr:colOff>
      <xdr:row>59</xdr:row>
      <xdr:rowOff>67217</xdr:rowOff>
    </xdr:to>
    <xdr:sp macro="" textlink="">
      <xdr:nvSpPr>
        <xdr:cNvPr id="137" name="Овал 136">
          <a:extLst>
            <a:ext uri="{FF2B5EF4-FFF2-40B4-BE49-F238E27FC236}">
              <a16:creationId xmlns:a16="http://schemas.microsoft.com/office/drawing/2014/main" id="{84101A8F-678B-4ABC-8873-80309FCEE45E}"/>
            </a:ext>
          </a:extLst>
        </xdr:cNvPr>
        <xdr:cNvSpPr/>
      </xdr:nvSpPr>
      <xdr:spPr bwMode="auto">
        <a:xfrm>
          <a:off x="4874165" y="10032481"/>
          <a:ext cx="2287696" cy="2287696"/>
        </a:xfrm>
        <a:prstGeom prst="ellipse">
          <a:avLst/>
        </a:pr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8</xdr:col>
      <xdr:colOff>146379</xdr:colOff>
      <xdr:row>47</xdr:row>
      <xdr:rowOff>123095</xdr:rowOff>
    </xdr:from>
    <xdr:to>
      <xdr:col>11</xdr:col>
      <xdr:colOff>307247</xdr:colOff>
      <xdr:row>58</xdr:row>
      <xdr:rowOff>101083</xdr:rowOff>
    </xdr:to>
    <xdr:sp macro="" textlink="">
      <xdr:nvSpPr>
        <xdr:cNvPr id="138" name="Овал 137">
          <a:extLst>
            <a:ext uri="{FF2B5EF4-FFF2-40B4-BE49-F238E27FC236}">
              <a16:creationId xmlns:a16="http://schemas.microsoft.com/office/drawing/2014/main" id="{E00E7D51-24BF-461E-A254-995BCE694C82}"/>
            </a:ext>
          </a:extLst>
        </xdr:cNvPr>
        <xdr:cNvSpPr/>
      </xdr:nvSpPr>
      <xdr:spPr bwMode="auto">
        <a:xfrm>
          <a:off x="5023179" y="10181495"/>
          <a:ext cx="1989668" cy="1989668"/>
        </a:xfrm>
        <a:prstGeom prst="ellipse">
          <a:avLst/>
        </a:prstGeom>
        <a:solidFill>
          <a:schemeClr val="bg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268299</xdr:colOff>
      <xdr:row>45</xdr:row>
      <xdr:rowOff>1175</xdr:rowOff>
    </xdr:from>
    <xdr:to>
      <xdr:col>12</xdr:col>
      <xdr:colOff>185327</xdr:colOff>
      <xdr:row>53</xdr:row>
      <xdr:rowOff>25361</xdr:rowOff>
    </xdr:to>
    <xdr:sp macro="" textlink="">
      <xdr:nvSpPr>
        <xdr:cNvPr id="139" name="Полилиния: фигура 11">
          <a:extLst>
            <a:ext uri="{FF2B5EF4-FFF2-40B4-BE49-F238E27FC236}">
              <a16:creationId xmlns:a16="http://schemas.microsoft.com/office/drawing/2014/main" id="{CA7A708D-2BE8-4B02-B84A-B45F501D0497}"/>
            </a:ext>
          </a:extLst>
        </xdr:cNvPr>
        <xdr:cNvSpPr/>
      </xdr:nvSpPr>
      <xdr:spPr bwMode="auto">
        <a:xfrm>
          <a:off x="4535499" y="9693815"/>
          <a:ext cx="2965028" cy="1487226"/>
        </a:xfrm>
        <a:custGeom>
          <a:avLst/>
          <a:gdLst>
            <a:gd name="connsiteX0" fmla="*/ 1482514 w 2965028"/>
            <a:gd name="connsiteY0" fmla="*/ 0 h 1487226"/>
            <a:gd name="connsiteX1" fmla="*/ 2965028 w 2965028"/>
            <a:gd name="connsiteY1" fmla="*/ 1482514 h 1487226"/>
            <a:gd name="connsiteX2" fmla="*/ 2964790 w 2965028"/>
            <a:gd name="connsiteY2" fmla="*/ 1487226 h 1487226"/>
            <a:gd name="connsiteX3" fmla="*/ 2886085 w 2965028"/>
            <a:gd name="connsiteY3" fmla="*/ 1487226 h 1487226"/>
            <a:gd name="connsiteX4" fmla="*/ 2886323 w 2965028"/>
            <a:gd name="connsiteY4" fmla="*/ 1482514 h 1487226"/>
            <a:gd name="connsiteX5" fmla="*/ 1482514 w 2965028"/>
            <a:gd name="connsiteY5" fmla="*/ 78705 h 1487226"/>
            <a:gd name="connsiteX6" fmla="*/ 78705 w 2965028"/>
            <a:gd name="connsiteY6" fmla="*/ 1482514 h 1487226"/>
            <a:gd name="connsiteX7" fmla="*/ 78943 w 2965028"/>
            <a:gd name="connsiteY7" fmla="*/ 1487226 h 1487226"/>
            <a:gd name="connsiteX8" fmla="*/ 238 w 2965028"/>
            <a:gd name="connsiteY8" fmla="*/ 1487226 h 1487226"/>
            <a:gd name="connsiteX9" fmla="*/ 0 w 2965028"/>
            <a:gd name="connsiteY9" fmla="*/ 1482514 h 1487226"/>
            <a:gd name="connsiteX10" fmla="*/ 1482514 w 2965028"/>
            <a:gd name="connsiteY10" fmla="*/ 0 h 14872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965028" h="1487226">
              <a:moveTo>
                <a:pt x="1482514" y="0"/>
              </a:moveTo>
              <a:cubicBezTo>
                <a:pt x="2301284" y="0"/>
                <a:pt x="2965028" y="663744"/>
                <a:pt x="2965028" y="1482514"/>
              </a:cubicBezTo>
              <a:lnTo>
                <a:pt x="2964790" y="1487226"/>
              </a:lnTo>
              <a:lnTo>
                <a:pt x="2886085" y="1487226"/>
              </a:lnTo>
              <a:lnTo>
                <a:pt x="2886323" y="1482514"/>
              </a:lnTo>
              <a:cubicBezTo>
                <a:pt x="2886323" y="707212"/>
                <a:pt x="2257816" y="78705"/>
                <a:pt x="1482514" y="78705"/>
              </a:cubicBezTo>
              <a:cubicBezTo>
                <a:pt x="707212" y="78705"/>
                <a:pt x="78705" y="707212"/>
                <a:pt x="78705" y="1482514"/>
              </a:cubicBezTo>
              <a:lnTo>
                <a:pt x="78943" y="1487226"/>
              </a:lnTo>
              <a:lnTo>
                <a:pt x="238" y="1487226"/>
              </a:lnTo>
              <a:lnTo>
                <a:pt x="0" y="1482514"/>
              </a:lnTo>
              <a:cubicBezTo>
                <a:pt x="0" y="663744"/>
                <a:pt x="663744" y="0"/>
                <a:pt x="1482514" y="0"/>
              </a:cubicBezTo>
              <a:close/>
            </a:path>
          </a:pathLst>
        </a:cu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408847</xdr:colOff>
      <xdr:row>60</xdr:row>
      <xdr:rowOff>52718</xdr:rowOff>
    </xdr:from>
    <xdr:to>
      <xdr:col>10</xdr:col>
      <xdr:colOff>53247</xdr:colOff>
      <xdr:row>61</xdr:row>
      <xdr:rowOff>123838</xdr:rowOff>
    </xdr:to>
    <xdr:sp macro="" textlink="">
      <xdr:nvSpPr>
        <xdr:cNvPr id="140" name="Овал 139">
          <a:extLst>
            <a:ext uri="{FF2B5EF4-FFF2-40B4-BE49-F238E27FC236}">
              <a16:creationId xmlns:a16="http://schemas.microsoft.com/office/drawing/2014/main" id="{B118340D-CE3B-4E08-A8E4-260657840C55}"/>
            </a:ext>
          </a:extLst>
        </xdr:cNvPr>
        <xdr:cNvSpPr/>
      </xdr:nvSpPr>
      <xdr:spPr bwMode="auto">
        <a:xfrm>
          <a:off x="5895247" y="12488558"/>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443772</xdr:colOff>
      <xdr:row>60</xdr:row>
      <xdr:rowOff>87643</xdr:rowOff>
    </xdr:from>
    <xdr:to>
      <xdr:col>10</xdr:col>
      <xdr:colOff>18322</xdr:colOff>
      <xdr:row>61</xdr:row>
      <xdr:rowOff>88913</xdr:rowOff>
    </xdr:to>
    <xdr:sp macro="" textlink="">
      <xdr:nvSpPr>
        <xdr:cNvPr id="141" name="Овал 140">
          <a:extLst>
            <a:ext uri="{FF2B5EF4-FFF2-40B4-BE49-F238E27FC236}">
              <a16:creationId xmlns:a16="http://schemas.microsoft.com/office/drawing/2014/main" id="{479D063F-F352-43AE-AC95-882F4B917495}"/>
            </a:ext>
          </a:extLst>
        </xdr:cNvPr>
        <xdr:cNvSpPr/>
      </xdr:nvSpPr>
      <xdr:spPr bwMode="auto">
        <a:xfrm>
          <a:off x="5930172" y="12523483"/>
          <a:ext cx="184150" cy="184150"/>
        </a:xfrm>
        <a:prstGeom prst="ellipse">
          <a:avLst/>
        </a:prstGeom>
        <a:solidFill>
          <a:schemeClr val="bg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8</xdr:col>
      <xdr:colOff>11338</xdr:colOff>
      <xdr:row>57</xdr:row>
      <xdr:rowOff>173105</xdr:rowOff>
    </xdr:from>
    <xdr:to>
      <xdr:col>8</xdr:col>
      <xdr:colOff>265338</xdr:colOff>
      <xdr:row>59</xdr:row>
      <xdr:rowOff>61345</xdr:rowOff>
    </xdr:to>
    <xdr:sp macro="" textlink="">
      <xdr:nvSpPr>
        <xdr:cNvPr id="142" name="Овал 141">
          <a:extLst>
            <a:ext uri="{FF2B5EF4-FFF2-40B4-BE49-F238E27FC236}">
              <a16:creationId xmlns:a16="http://schemas.microsoft.com/office/drawing/2014/main" id="{CBB2F9FA-FE55-44A2-BFE4-5247E097E656}"/>
            </a:ext>
          </a:extLst>
        </xdr:cNvPr>
        <xdr:cNvSpPr/>
      </xdr:nvSpPr>
      <xdr:spPr bwMode="auto">
        <a:xfrm>
          <a:off x="4888138" y="12060305"/>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8</xdr:col>
      <xdr:colOff>46263</xdr:colOff>
      <xdr:row>58</xdr:row>
      <xdr:rowOff>25150</xdr:rowOff>
    </xdr:from>
    <xdr:to>
      <xdr:col>8</xdr:col>
      <xdr:colOff>230413</xdr:colOff>
      <xdr:row>59</xdr:row>
      <xdr:rowOff>26420</xdr:rowOff>
    </xdr:to>
    <xdr:sp macro="" textlink="">
      <xdr:nvSpPr>
        <xdr:cNvPr id="143" name="Овал 142">
          <a:extLst>
            <a:ext uri="{FF2B5EF4-FFF2-40B4-BE49-F238E27FC236}">
              <a16:creationId xmlns:a16="http://schemas.microsoft.com/office/drawing/2014/main" id="{998612FF-CAB2-4A03-A548-4FA426648FCA}"/>
            </a:ext>
          </a:extLst>
        </xdr:cNvPr>
        <xdr:cNvSpPr/>
      </xdr:nvSpPr>
      <xdr:spPr bwMode="auto">
        <a:xfrm>
          <a:off x="4923063" y="12095230"/>
          <a:ext cx="184150" cy="184150"/>
        </a:xfrm>
        <a:prstGeom prst="ellipse">
          <a:avLst/>
        </a:prstGeom>
        <a:solidFill>
          <a:schemeClr val="bg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202275</xdr:colOff>
      <xdr:row>52</xdr:row>
      <xdr:rowOff>83302</xdr:rowOff>
    </xdr:from>
    <xdr:to>
      <xdr:col>7</xdr:col>
      <xdr:colOff>456275</xdr:colOff>
      <xdr:row>53</xdr:row>
      <xdr:rowOff>154422</xdr:rowOff>
    </xdr:to>
    <xdr:sp macro="" textlink="">
      <xdr:nvSpPr>
        <xdr:cNvPr id="144" name="Овал 143">
          <a:extLst>
            <a:ext uri="{FF2B5EF4-FFF2-40B4-BE49-F238E27FC236}">
              <a16:creationId xmlns:a16="http://schemas.microsoft.com/office/drawing/2014/main" id="{8D56D2C2-D165-40E9-BDD9-C543E573A830}"/>
            </a:ext>
          </a:extLst>
        </xdr:cNvPr>
        <xdr:cNvSpPr/>
      </xdr:nvSpPr>
      <xdr:spPr bwMode="auto">
        <a:xfrm>
          <a:off x="4469475" y="11056102"/>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237200</xdr:colOff>
      <xdr:row>52</xdr:row>
      <xdr:rowOff>118227</xdr:rowOff>
    </xdr:from>
    <xdr:to>
      <xdr:col>7</xdr:col>
      <xdr:colOff>421350</xdr:colOff>
      <xdr:row>53</xdr:row>
      <xdr:rowOff>119497</xdr:rowOff>
    </xdr:to>
    <xdr:sp macro="" textlink="">
      <xdr:nvSpPr>
        <xdr:cNvPr id="145" name="Овал 144">
          <a:extLst>
            <a:ext uri="{FF2B5EF4-FFF2-40B4-BE49-F238E27FC236}">
              <a16:creationId xmlns:a16="http://schemas.microsoft.com/office/drawing/2014/main" id="{03076FBB-7883-4787-AF25-DA8C90DCB3D3}"/>
            </a:ext>
          </a:extLst>
        </xdr:cNvPr>
        <xdr:cNvSpPr/>
      </xdr:nvSpPr>
      <xdr:spPr bwMode="auto">
        <a:xfrm>
          <a:off x="4504400" y="11091027"/>
          <a:ext cx="184150" cy="184150"/>
        </a:xfrm>
        <a:prstGeom prst="ellipse">
          <a:avLst/>
        </a:prstGeom>
        <a:solidFill>
          <a:schemeClr val="bg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196758</xdr:colOff>
      <xdr:row>57</xdr:row>
      <xdr:rowOff>176797</xdr:rowOff>
    </xdr:from>
    <xdr:to>
      <xdr:col>11</xdr:col>
      <xdr:colOff>450758</xdr:colOff>
      <xdr:row>59</xdr:row>
      <xdr:rowOff>65037</xdr:rowOff>
    </xdr:to>
    <xdr:sp macro="" textlink="">
      <xdr:nvSpPr>
        <xdr:cNvPr id="146" name="Овал 145">
          <a:extLst>
            <a:ext uri="{FF2B5EF4-FFF2-40B4-BE49-F238E27FC236}">
              <a16:creationId xmlns:a16="http://schemas.microsoft.com/office/drawing/2014/main" id="{CC9B20CC-CCF2-4E9B-9818-2246FB0B63DC}"/>
            </a:ext>
          </a:extLst>
        </xdr:cNvPr>
        <xdr:cNvSpPr/>
      </xdr:nvSpPr>
      <xdr:spPr bwMode="auto">
        <a:xfrm>
          <a:off x="6902358" y="12063997"/>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231683</xdr:colOff>
      <xdr:row>58</xdr:row>
      <xdr:rowOff>28842</xdr:rowOff>
    </xdr:from>
    <xdr:to>
      <xdr:col>11</xdr:col>
      <xdr:colOff>415833</xdr:colOff>
      <xdr:row>59</xdr:row>
      <xdr:rowOff>30112</xdr:rowOff>
    </xdr:to>
    <xdr:sp macro="" textlink="">
      <xdr:nvSpPr>
        <xdr:cNvPr id="147" name="Овал 146">
          <a:extLst>
            <a:ext uri="{FF2B5EF4-FFF2-40B4-BE49-F238E27FC236}">
              <a16:creationId xmlns:a16="http://schemas.microsoft.com/office/drawing/2014/main" id="{C5FE61A9-CE13-4805-AEA2-1305DC6B61BE}"/>
            </a:ext>
          </a:extLst>
        </xdr:cNvPr>
        <xdr:cNvSpPr/>
      </xdr:nvSpPr>
      <xdr:spPr bwMode="auto">
        <a:xfrm>
          <a:off x="6937283" y="12098922"/>
          <a:ext cx="184150" cy="184150"/>
        </a:xfrm>
        <a:prstGeom prst="ellipse">
          <a:avLst/>
        </a:prstGeom>
        <a:solidFill>
          <a:schemeClr val="bg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12</xdr:col>
      <xdr:colOff>4596</xdr:colOff>
      <xdr:row>52</xdr:row>
      <xdr:rowOff>83302</xdr:rowOff>
    </xdr:from>
    <xdr:to>
      <xdr:col>12</xdr:col>
      <xdr:colOff>258596</xdr:colOff>
      <xdr:row>53</xdr:row>
      <xdr:rowOff>154422</xdr:rowOff>
    </xdr:to>
    <xdr:sp macro="" textlink="">
      <xdr:nvSpPr>
        <xdr:cNvPr id="148" name="Овал 147">
          <a:extLst>
            <a:ext uri="{FF2B5EF4-FFF2-40B4-BE49-F238E27FC236}">
              <a16:creationId xmlns:a16="http://schemas.microsoft.com/office/drawing/2014/main" id="{45B8E594-4F38-4EC5-BC0F-FC520881D8D2}"/>
            </a:ext>
          </a:extLst>
        </xdr:cNvPr>
        <xdr:cNvSpPr/>
      </xdr:nvSpPr>
      <xdr:spPr bwMode="auto">
        <a:xfrm>
          <a:off x="7319796" y="11056102"/>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12</xdr:col>
      <xdr:colOff>39521</xdr:colOff>
      <xdr:row>52</xdr:row>
      <xdr:rowOff>118227</xdr:rowOff>
    </xdr:from>
    <xdr:to>
      <xdr:col>12</xdr:col>
      <xdr:colOff>223671</xdr:colOff>
      <xdr:row>53</xdr:row>
      <xdr:rowOff>119497</xdr:rowOff>
    </xdr:to>
    <xdr:sp macro="" textlink="">
      <xdr:nvSpPr>
        <xdr:cNvPr id="149" name="Овал 148">
          <a:extLst>
            <a:ext uri="{FF2B5EF4-FFF2-40B4-BE49-F238E27FC236}">
              <a16:creationId xmlns:a16="http://schemas.microsoft.com/office/drawing/2014/main" id="{91B0900B-5BD9-4257-B44B-E87F8D9744AD}"/>
            </a:ext>
          </a:extLst>
        </xdr:cNvPr>
        <xdr:cNvSpPr/>
      </xdr:nvSpPr>
      <xdr:spPr bwMode="auto">
        <a:xfrm>
          <a:off x="7354721" y="11091027"/>
          <a:ext cx="184150" cy="184150"/>
        </a:xfrm>
        <a:prstGeom prst="ellipse">
          <a:avLst/>
        </a:prstGeom>
        <a:solidFill>
          <a:schemeClr val="bg1"/>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12</xdr:col>
      <xdr:colOff>237395</xdr:colOff>
      <xdr:row>53</xdr:row>
      <xdr:rowOff>5727</xdr:rowOff>
    </xdr:from>
    <xdr:to>
      <xdr:col>12</xdr:col>
      <xdr:colOff>491395</xdr:colOff>
      <xdr:row>53</xdr:row>
      <xdr:rowOff>51446</xdr:rowOff>
    </xdr:to>
    <xdr:sp macro="" textlink="">
      <xdr:nvSpPr>
        <xdr:cNvPr id="150" name="Прямоугольник 149">
          <a:extLst>
            <a:ext uri="{FF2B5EF4-FFF2-40B4-BE49-F238E27FC236}">
              <a16:creationId xmlns:a16="http://schemas.microsoft.com/office/drawing/2014/main" id="{17BD03C6-4039-44E3-9EE7-8FFEDADAD184}"/>
            </a:ext>
          </a:extLst>
        </xdr:cNvPr>
        <xdr:cNvSpPr/>
      </xdr:nvSpPr>
      <xdr:spPr bwMode="auto">
        <a:xfrm>
          <a:off x="7552595" y="11161407"/>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6</xdr:col>
      <xdr:colOff>592800</xdr:colOff>
      <xdr:row>53</xdr:row>
      <xdr:rowOff>5727</xdr:rowOff>
    </xdr:from>
    <xdr:to>
      <xdr:col>7</xdr:col>
      <xdr:colOff>237200</xdr:colOff>
      <xdr:row>53</xdr:row>
      <xdr:rowOff>51446</xdr:rowOff>
    </xdr:to>
    <xdr:sp macro="" textlink="">
      <xdr:nvSpPr>
        <xdr:cNvPr id="151" name="Прямоугольник 150">
          <a:extLst>
            <a:ext uri="{FF2B5EF4-FFF2-40B4-BE49-F238E27FC236}">
              <a16:creationId xmlns:a16="http://schemas.microsoft.com/office/drawing/2014/main" id="{2FC75744-0059-4574-BBE8-D51215D0000D}"/>
            </a:ext>
          </a:extLst>
        </xdr:cNvPr>
        <xdr:cNvSpPr/>
      </xdr:nvSpPr>
      <xdr:spPr bwMode="auto">
        <a:xfrm>
          <a:off x="4250400" y="11161407"/>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448933</xdr:colOff>
      <xdr:row>59</xdr:row>
      <xdr:rowOff>69888</xdr:rowOff>
    </xdr:from>
    <xdr:to>
      <xdr:col>8</xdr:col>
      <xdr:colOff>93333</xdr:colOff>
      <xdr:row>59</xdr:row>
      <xdr:rowOff>115607</xdr:rowOff>
    </xdr:to>
    <xdr:sp macro="" textlink="">
      <xdr:nvSpPr>
        <xdr:cNvPr id="152" name="Прямоугольник 151">
          <a:extLst>
            <a:ext uri="{FF2B5EF4-FFF2-40B4-BE49-F238E27FC236}">
              <a16:creationId xmlns:a16="http://schemas.microsoft.com/office/drawing/2014/main" id="{2B47E7BD-5942-4DCA-B704-E2CD735ECF0D}"/>
            </a:ext>
          </a:extLst>
        </xdr:cNvPr>
        <xdr:cNvSpPr/>
      </xdr:nvSpPr>
      <xdr:spPr bwMode="auto">
        <a:xfrm rot="18900000">
          <a:off x="4716133" y="12322848"/>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11</xdr:col>
      <xdr:colOff>361601</xdr:colOff>
      <xdr:row>59</xdr:row>
      <xdr:rowOff>77103</xdr:rowOff>
    </xdr:from>
    <xdr:to>
      <xdr:col>12</xdr:col>
      <xdr:colOff>6001</xdr:colOff>
      <xdr:row>59</xdr:row>
      <xdr:rowOff>122822</xdr:rowOff>
    </xdr:to>
    <xdr:sp macro="" textlink="">
      <xdr:nvSpPr>
        <xdr:cNvPr id="153" name="Прямоугольник 152">
          <a:extLst>
            <a:ext uri="{FF2B5EF4-FFF2-40B4-BE49-F238E27FC236}">
              <a16:creationId xmlns:a16="http://schemas.microsoft.com/office/drawing/2014/main" id="{E29104E8-C451-43C5-A8C5-DEDF1705D9EC}"/>
            </a:ext>
          </a:extLst>
        </xdr:cNvPr>
        <xdr:cNvSpPr/>
      </xdr:nvSpPr>
      <xdr:spPr bwMode="auto">
        <a:xfrm rot="2700000" flipH="1">
          <a:off x="7067201" y="12330063"/>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512987</xdr:colOff>
      <xdr:row>61</xdr:row>
      <xdr:rowOff>105629</xdr:rowOff>
    </xdr:from>
    <xdr:to>
      <xdr:col>9</xdr:col>
      <xdr:colOff>558706</xdr:colOff>
      <xdr:row>62</xdr:row>
      <xdr:rowOff>176749</xdr:rowOff>
    </xdr:to>
    <xdr:sp macro="" textlink="">
      <xdr:nvSpPr>
        <xdr:cNvPr id="154" name="Прямоугольник 153">
          <a:extLst>
            <a:ext uri="{FF2B5EF4-FFF2-40B4-BE49-F238E27FC236}">
              <a16:creationId xmlns:a16="http://schemas.microsoft.com/office/drawing/2014/main" id="{338EEF32-6C7D-495D-AFD3-22738F804C36}"/>
            </a:ext>
          </a:extLst>
        </xdr:cNvPr>
        <xdr:cNvSpPr/>
      </xdr:nvSpPr>
      <xdr:spPr bwMode="auto">
        <a:xfrm rot="5400000" flipH="1">
          <a:off x="5895247" y="12828489"/>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0</xdr:col>
      <xdr:colOff>162209</xdr:colOff>
      <xdr:row>52</xdr:row>
      <xdr:rowOff>42220</xdr:rowOff>
    </xdr:from>
    <xdr:to>
      <xdr:col>4</xdr:col>
      <xdr:colOff>465997</xdr:colOff>
      <xdr:row>53</xdr:row>
      <xdr:rowOff>45196</xdr:rowOff>
    </xdr:to>
    <xdr:sp macro="" textlink="">
      <xdr:nvSpPr>
        <xdr:cNvPr id="155" name="TextBox 27">
          <a:extLst>
            <a:ext uri="{FF2B5EF4-FFF2-40B4-BE49-F238E27FC236}">
              <a16:creationId xmlns:a16="http://schemas.microsoft.com/office/drawing/2014/main" id="{5FDBDDFC-22DB-4842-8BD1-1632B910CC5F}"/>
            </a:ext>
          </a:extLst>
        </xdr:cNvPr>
        <xdr:cNvSpPr txBox="1"/>
      </xdr:nvSpPr>
      <xdr:spPr>
        <a:xfrm>
          <a:off x="162209" y="11015020"/>
          <a:ext cx="2742188" cy="185856"/>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b="1">
              <a:solidFill>
                <a:srgbClr val="0033CC"/>
              </a:solidFill>
              <a:latin typeface="Segoe UI" panose="020B0502040204020203" pitchFamily="34" charset="0"/>
              <a:ea typeface="Segoe UI" panose="020B0502040204020203" pitchFamily="34" charset="0"/>
              <a:cs typeface="Segoe UI" panose="020B0502040204020203" pitchFamily="34" charset="0"/>
            </a:rPr>
            <a:t>NODES   01</a:t>
          </a:r>
        </a:p>
      </xdr:txBody>
    </xdr:sp>
    <xdr:clientData/>
  </xdr:twoCellAnchor>
  <xdr:twoCellAnchor>
    <xdr:from>
      <xdr:col>1</xdr:col>
      <xdr:colOff>90387</xdr:colOff>
      <xdr:row>60</xdr:row>
      <xdr:rowOff>95517</xdr:rowOff>
    </xdr:from>
    <xdr:to>
      <xdr:col>5</xdr:col>
      <xdr:colOff>394175</xdr:colOff>
      <xdr:row>61</xdr:row>
      <xdr:rowOff>98493</xdr:rowOff>
    </xdr:to>
    <xdr:sp macro="" textlink="">
      <xdr:nvSpPr>
        <xdr:cNvPr id="156" name="TextBox 28">
          <a:extLst>
            <a:ext uri="{FF2B5EF4-FFF2-40B4-BE49-F238E27FC236}">
              <a16:creationId xmlns:a16="http://schemas.microsoft.com/office/drawing/2014/main" id="{FD73C74D-3A3F-4565-B939-4CA188C41408}"/>
            </a:ext>
          </a:extLst>
        </xdr:cNvPr>
        <xdr:cNvSpPr txBox="1"/>
      </xdr:nvSpPr>
      <xdr:spPr>
        <a:xfrm>
          <a:off x="699987" y="12531357"/>
          <a:ext cx="2742188" cy="185856"/>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b="1">
              <a:solidFill>
                <a:srgbClr val="0033CC"/>
              </a:solidFill>
              <a:latin typeface="Segoe UI" panose="020B0502040204020203" pitchFamily="34" charset="0"/>
              <a:ea typeface="Segoe UI" panose="020B0502040204020203" pitchFamily="34" charset="0"/>
              <a:cs typeface="Segoe UI" panose="020B0502040204020203" pitchFamily="34" charset="0"/>
            </a:rPr>
            <a:t>ORCHESTRATOR   02</a:t>
          </a:r>
        </a:p>
      </xdr:txBody>
    </xdr:sp>
    <xdr:clientData/>
  </xdr:twoCellAnchor>
  <xdr:twoCellAnchor>
    <xdr:from>
      <xdr:col>7</xdr:col>
      <xdr:colOff>379719</xdr:colOff>
      <xdr:row>70</xdr:row>
      <xdr:rowOff>16362</xdr:rowOff>
    </xdr:from>
    <xdr:to>
      <xdr:col>12</xdr:col>
      <xdr:colOff>73907</xdr:colOff>
      <xdr:row>71</xdr:row>
      <xdr:rowOff>19338</xdr:rowOff>
    </xdr:to>
    <xdr:sp macro="" textlink="">
      <xdr:nvSpPr>
        <xdr:cNvPr id="157" name="TextBox 29">
          <a:extLst>
            <a:ext uri="{FF2B5EF4-FFF2-40B4-BE49-F238E27FC236}">
              <a16:creationId xmlns:a16="http://schemas.microsoft.com/office/drawing/2014/main" id="{F08DBA0E-AC17-4E8C-A32D-CDC4FCDEC7BB}"/>
            </a:ext>
          </a:extLst>
        </xdr:cNvPr>
        <xdr:cNvSpPr txBox="1"/>
      </xdr:nvSpPr>
      <xdr:spPr>
        <a:xfrm>
          <a:off x="4646919" y="14281002"/>
          <a:ext cx="2742188" cy="185856"/>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solidFill>
                <a:srgbClr val="0033CC"/>
              </a:solidFill>
              <a:latin typeface="Segoe UI" panose="020B0502040204020203" pitchFamily="34" charset="0"/>
              <a:ea typeface="Segoe UI" panose="020B0502040204020203" pitchFamily="34" charset="0"/>
              <a:cs typeface="Segoe UI" panose="020B0502040204020203" pitchFamily="34" charset="0"/>
            </a:rPr>
            <a:t>03  IMAGE</a:t>
          </a:r>
        </a:p>
      </xdr:txBody>
    </xdr:sp>
    <xdr:clientData/>
  </xdr:twoCellAnchor>
  <xdr:twoCellAnchor>
    <xdr:from>
      <xdr:col>14</xdr:col>
      <xdr:colOff>59451</xdr:colOff>
      <xdr:row>60</xdr:row>
      <xdr:rowOff>95517</xdr:rowOff>
    </xdr:from>
    <xdr:to>
      <xdr:col>18</xdr:col>
      <xdr:colOff>363239</xdr:colOff>
      <xdr:row>61</xdr:row>
      <xdr:rowOff>98493</xdr:rowOff>
    </xdr:to>
    <xdr:sp macro="" textlink="">
      <xdr:nvSpPr>
        <xdr:cNvPr id="158" name="TextBox 30">
          <a:extLst>
            <a:ext uri="{FF2B5EF4-FFF2-40B4-BE49-F238E27FC236}">
              <a16:creationId xmlns:a16="http://schemas.microsoft.com/office/drawing/2014/main" id="{E4FACBF5-A6A8-45A1-BAE2-3B14F81C5D2E}"/>
            </a:ext>
          </a:extLst>
        </xdr:cNvPr>
        <xdr:cNvSpPr txBox="1"/>
      </xdr:nvSpPr>
      <xdr:spPr>
        <a:xfrm>
          <a:off x="8593851" y="12531357"/>
          <a:ext cx="2742188" cy="185856"/>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solidFill>
                <a:srgbClr val="0033CC"/>
              </a:solidFill>
              <a:latin typeface="Segoe UI" panose="020B0502040204020203" pitchFamily="34" charset="0"/>
              <a:ea typeface="Segoe UI" panose="020B0502040204020203" pitchFamily="34" charset="0"/>
              <a:cs typeface="Segoe UI" panose="020B0502040204020203" pitchFamily="34" charset="0"/>
            </a:rPr>
            <a:t>04  MANIFEST</a:t>
          </a:r>
        </a:p>
      </xdr:txBody>
    </xdr:sp>
    <xdr:clientData/>
  </xdr:twoCellAnchor>
  <xdr:twoCellAnchor>
    <xdr:from>
      <xdr:col>14</xdr:col>
      <xdr:colOff>601320</xdr:colOff>
      <xdr:row>52</xdr:row>
      <xdr:rowOff>42219</xdr:rowOff>
    </xdr:from>
    <xdr:to>
      <xdr:col>19</xdr:col>
      <xdr:colOff>295508</xdr:colOff>
      <xdr:row>53</xdr:row>
      <xdr:rowOff>45195</xdr:rowOff>
    </xdr:to>
    <xdr:sp macro="" textlink="">
      <xdr:nvSpPr>
        <xdr:cNvPr id="159" name="TextBox 31">
          <a:extLst>
            <a:ext uri="{FF2B5EF4-FFF2-40B4-BE49-F238E27FC236}">
              <a16:creationId xmlns:a16="http://schemas.microsoft.com/office/drawing/2014/main" id="{6694C2BC-A0F5-4DF2-94A3-36F2CC722696}"/>
            </a:ext>
          </a:extLst>
        </xdr:cNvPr>
        <xdr:cNvSpPr txBox="1"/>
      </xdr:nvSpPr>
      <xdr:spPr>
        <a:xfrm>
          <a:off x="9135720" y="11015019"/>
          <a:ext cx="2742188" cy="185856"/>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b="1">
              <a:solidFill>
                <a:srgbClr val="0033CC"/>
              </a:solidFill>
              <a:latin typeface="Segoe UI" panose="020B0502040204020203" pitchFamily="34" charset="0"/>
              <a:ea typeface="Segoe UI" panose="020B0502040204020203" pitchFamily="34" charset="0"/>
              <a:cs typeface="Segoe UI" panose="020B0502040204020203" pitchFamily="34" charset="0"/>
            </a:rPr>
            <a:t>05  CONTAINER</a:t>
          </a:r>
        </a:p>
      </xdr:txBody>
    </xdr:sp>
    <xdr:clientData/>
  </xdr:twoCellAnchor>
  <xdr:twoCellAnchor>
    <xdr:from>
      <xdr:col>4</xdr:col>
      <xdr:colOff>465997</xdr:colOff>
      <xdr:row>52</xdr:row>
      <xdr:rowOff>42218</xdr:rowOff>
    </xdr:from>
    <xdr:to>
      <xdr:col>4</xdr:col>
      <xdr:colOff>511716</xdr:colOff>
      <xdr:row>53</xdr:row>
      <xdr:rowOff>58113</xdr:rowOff>
    </xdr:to>
    <xdr:sp macro="" textlink="">
      <xdr:nvSpPr>
        <xdr:cNvPr id="160" name="Прямоугольник 159">
          <a:extLst>
            <a:ext uri="{FF2B5EF4-FFF2-40B4-BE49-F238E27FC236}">
              <a16:creationId xmlns:a16="http://schemas.microsoft.com/office/drawing/2014/main" id="{58F92D79-4CA9-4B08-8FEB-EEFC904BCBBA}"/>
            </a:ext>
          </a:extLst>
        </xdr:cNvPr>
        <xdr:cNvSpPr/>
      </xdr:nvSpPr>
      <xdr:spPr bwMode="auto">
        <a:xfrm>
          <a:off x="2904397" y="11015018"/>
          <a:ext cx="45719" cy="198775"/>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5</xdr:col>
      <xdr:colOff>394175</xdr:colOff>
      <xdr:row>60</xdr:row>
      <xdr:rowOff>95517</xdr:rowOff>
    </xdr:from>
    <xdr:to>
      <xdr:col>5</xdr:col>
      <xdr:colOff>439894</xdr:colOff>
      <xdr:row>61</xdr:row>
      <xdr:rowOff>111412</xdr:rowOff>
    </xdr:to>
    <xdr:sp macro="" textlink="">
      <xdr:nvSpPr>
        <xdr:cNvPr id="161" name="Прямоугольник 160">
          <a:extLst>
            <a:ext uri="{FF2B5EF4-FFF2-40B4-BE49-F238E27FC236}">
              <a16:creationId xmlns:a16="http://schemas.microsoft.com/office/drawing/2014/main" id="{6A7C4876-285C-4288-9658-7DB0E376CB2B}"/>
            </a:ext>
          </a:extLst>
        </xdr:cNvPr>
        <xdr:cNvSpPr/>
      </xdr:nvSpPr>
      <xdr:spPr bwMode="auto">
        <a:xfrm>
          <a:off x="3442175" y="12531357"/>
          <a:ext cx="45719" cy="198775"/>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334000</xdr:colOff>
      <xdr:row>70</xdr:row>
      <xdr:rowOff>16362</xdr:rowOff>
    </xdr:from>
    <xdr:to>
      <xdr:col>7</xdr:col>
      <xdr:colOff>379719</xdr:colOff>
      <xdr:row>71</xdr:row>
      <xdr:rowOff>32257</xdr:rowOff>
    </xdr:to>
    <xdr:sp macro="" textlink="">
      <xdr:nvSpPr>
        <xdr:cNvPr id="162" name="Прямоугольник 161">
          <a:extLst>
            <a:ext uri="{FF2B5EF4-FFF2-40B4-BE49-F238E27FC236}">
              <a16:creationId xmlns:a16="http://schemas.microsoft.com/office/drawing/2014/main" id="{A31B5955-AF8A-4C02-8875-633D4360AE4D}"/>
            </a:ext>
          </a:extLst>
        </xdr:cNvPr>
        <xdr:cNvSpPr/>
      </xdr:nvSpPr>
      <xdr:spPr bwMode="auto">
        <a:xfrm>
          <a:off x="4601200" y="14281002"/>
          <a:ext cx="45719" cy="198775"/>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14</xdr:col>
      <xdr:colOff>13732</xdr:colOff>
      <xdr:row>60</xdr:row>
      <xdr:rowOff>95517</xdr:rowOff>
    </xdr:from>
    <xdr:to>
      <xdr:col>14</xdr:col>
      <xdr:colOff>59451</xdr:colOff>
      <xdr:row>61</xdr:row>
      <xdr:rowOff>111412</xdr:rowOff>
    </xdr:to>
    <xdr:sp macro="" textlink="">
      <xdr:nvSpPr>
        <xdr:cNvPr id="163" name="Прямоугольник 162">
          <a:extLst>
            <a:ext uri="{FF2B5EF4-FFF2-40B4-BE49-F238E27FC236}">
              <a16:creationId xmlns:a16="http://schemas.microsoft.com/office/drawing/2014/main" id="{30AB9154-5DA6-4563-9A0D-391672D52224}"/>
            </a:ext>
          </a:extLst>
        </xdr:cNvPr>
        <xdr:cNvSpPr/>
      </xdr:nvSpPr>
      <xdr:spPr bwMode="auto">
        <a:xfrm>
          <a:off x="8548132" y="12531357"/>
          <a:ext cx="45719" cy="198775"/>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14</xdr:col>
      <xdr:colOff>555601</xdr:colOff>
      <xdr:row>52</xdr:row>
      <xdr:rowOff>42219</xdr:rowOff>
    </xdr:from>
    <xdr:to>
      <xdr:col>14</xdr:col>
      <xdr:colOff>601320</xdr:colOff>
      <xdr:row>53</xdr:row>
      <xdr:rowOff>58114</xdr:rowOff>
    </xdr:to>
    <xdr:sp macro="" textlink="">
      <xdr:nvSpPr>
        <xdr:cNvPr id="164" name="Прямоугольник 163">
          <a:extLst>
            <a:ext uri="{FF2B5EF4-FFF2-40B4-BE49-F238E27FC236}">
              <a16:creationId xmlns:a16="http://schemas.microsoft.com/office/drawing/2014/main" id="{B50DB298-992E-4FF8-BC4C-D9D4F294E30D}"/>
            </a:ext>
          </a:extLst>
        </xdr:cNvPr>
        <xdr:cNvSpPr/>
      </xdr:nvSpPr>
      <xdr:spPr bwMode="auto">
        <a:xfrm>
          <a:off x="9090001" y="11015019"/>
          <a:ext cx="45719" cy="198775"/>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0</xdr:col>
      <xdr:colOff>162209</xdr:colOff>
      <xdr:row>53</xdr:row>
      <xdr:rowOff>118359</xdr:rowOff>
    </xdr:from>
    <xdr:to>
      <xdr:col>4</xdr:col>
      <xdr:colOff>465997</xdr:colOff>
      <xdr:row>56</xdr:row>
      <xdr:rowOff>72813</xdr:rowOff>
    </xdr:to>
    <xdr:sp macro="" textlink="">
      <xdr:nvSpPr>
        <xdr:cNvPr id="165" name="Прямоугольник 164">
          <a:extLst>
            <a:ext uri="{FF2B5EF4-FFF2-40B4-BE49-F238E27FC236}">
              <a16:creationId xmlns:a16="http://schemas.microsoft.com/office/drawing/2014/main" id="{0E5C3BC6-A214-41D3-8170-0B903D9369AB}"/>
            </a:ext>
          </a:extLst>
        </xdr:cNvPr>
        <xdr:cNvSpPr/>
      </xdr:nvSpPr>
      <xdr:spPr bwMode="auto">
        <a:xfrm>
          <a:off x="162209" y="11274039"/>
          <a:ext cx="2742188" cy="503094"/>
        </a:xfrm>
        <a:prstGeom prst="rect">
          <a:avLst/>
        </a:pr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r>
            <a:rPr lang="ru-RU" sz="1200" kern="0">
              <a:solidFill>
                <a:srgbClr val="001031"/>
              </a:solidFill>
              <a:latin typeface="Segoe UI"/>
            </a:rPr>
            <a:t>Защита узлов кластера – управление уязвимостями и конфигурацией</a:t>
          </a:r>
          <a:endParaRPr kumimoji="0" lang="en-US" sz="1200" b="0" i="0" u="none" strike="noStrike" kern="0" cap="none" spc="0" normalizeH="0" baseline="0">
            <a:ln>
              <a:noFill/>
            </a:ln>
            <a:solidFill>
              <a:srgbClr val="001031"/>
            </a:solidFill>
            <a:effectLst/>
            <a:uLnTx/>
            <a:uFillTx/>
            <a:latin typeface="Segoe UI"/>
          </a:endParaRPr>
        </a:p>
      </xdr:txBody>
    </xdr:sp>
    <xdr:clientData/>
  </xdr:twoCellAnchor>
  <xdr:twoCellAnchor>
    <xdr:from>
      <xdr:col>1</xdr:col>
      <xdr:colOff>90387</xdr:colOff>
      <xdr:row>61</xdr:row>
      <xdr:rowOff>171657</xdr:rowOff>
    </xdr:from>
    <xdr:to>
      <xdr:col>5</xdr:col>
      <xdr:colOff>394175</xdr:colOff>
      <xdr:row>64</xdr:row>
      <xdr:rowOff>126111</xdr:rowOff>
    </xdr:to>
    <xdr:sp macro="" textlink="">
      <xdr:nvSpPr>
        <xdr:cNvPr id="166" name="Прямоугольник 165">
          <a:extLst>
            <a:ext uri="{FF2B5EF4-FFF2-40B4-BE49-F238E27FC236}">
              <a16:creationId xmlns:a16="http://schemas.microsoft.com/office/drawing/2014/main" id="{C1F6455E-ADD7-443D-AF8F-32B4A69177A5}"/>
            </a:ext>
          </a:extLst>
        </xdr:cNvPr>
        <xdr:cNvSpPr/>
      </xdr:nvSpPr>
      <xdr:spPr bwMode="auto">
        <a:xfrm>
          <a:off x="699987" y="12790377"/>
          <a:ext cx="2742188" cy="503094"/>
        </a:xfrm>
        <a:prstGeom prst="rect">
          <a:avLst/>
        </a:pr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latin typeface="Segoe UI"/>
            </a:rPr>
            <a:t>Настройка оркестратора в соответствии с лучшими практиками</a:t>
          </a:r>
          <a:endParaRPr kumimoji="0" lang="en-US" sz="12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379719</xdr:colOff>
      <xdr:row>71</xdr:row>
      <xdr:rowOff>92502</xdr:rowOff>
    </xdr:from>
    <xdr:to>
      <xdr:col>12</xdr:col>
      <xdr:colOff>73907</xdr:colOff>
      <xdr:row>74</xdr:row>
      <xdr:rowOff>46956</xdr:rowOff>
    </xdr:to>
    <xdr:sp macro="" textlink="">
      <xdr:nvSpPr>
        <xdr:cNvPr id="167" name="Прямоугольник 166">
          <a:extLst>
            <a:ext uri="{FF2B5EF4-FFF2-40B4-BE49-F238E27FC236}">
              <a16:creationId xmlns:a16="http://schemas.microsoft.com/office/drawing/2014/main" id="{7C6F65E1-E4A2-4E73-A074-1E782E8C36CD}"/>
            </a:ext>
          </a:extLst>
        </xdr:cNvPr>
        <xdr:cNvSpPr/>
      </xdr:nvSpPr>
      <xdr:spPr bwMode="auto">
        <a:xfrm>
          <a:off x="4646919" y="14540022"/>
          <a:ext cx="2742188" cy="503094"/>
        </a:xfrm>
        <a:prstGeom prst="rect">
          <a:avLst/>
        </a:pr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latin typeface="Segoe UI"/>
            </a:rPr>
            <a:t>Контроль выполнения ИБ-требований при создании образов</a:t>
          </a:r>
          <a:endParaRPr kumimoji="0" lang="en-US" sz="1200" b="0" i="0" u="none" strike="noStrike" kern="0" cap="none" spc="0" normalizeH="0" baseline="0">
            <a:ln>
              <a:noFill/>
            </a:ln>
            <a:solidFill>
              <a:srgbClr val="001031"/>
            </a:solidFill>
            <a:effectLst/>
            <a:uLnTx/>
            <a:uFillTx/>
            <a:latin typeface="Segoe UI"/>
          </a:endParaRPr>
        </a:p>
      </xdr:txBody>
    </xdr:sp>
    <xdr:clientData/>
  </xdr:twoCellAnchor>
  <xdr:twoCellAnchor>
    <xdr:from>
      <xdr:col>14</xdr:col>
      <xdr:colOff>59451</xdr:colOff>
      <xdr:row>61</xdr:row>
      <xdr:rowOff>171657</xdr:rowOff>
    </xdr:from>
    <xdr:to>
      <xdr:col>18</xdr:col>
      <xdr:colOff>363239</xdr:colOff>
      <xdr:row>64</xdr:row>
      <xdr:rowOff>126111</xdr:rowOff>
    </xdr:to>
    <xdr:sp macro="" textlink="">
      <xdr:nvSpPr>
        <xdr:cNvPr id="168" name="Прямоугольник 167">
          <a:extLst>
            <a:ext uri="{FF2B5EF4-FFF2-40B4-BE49-F238E27FC236}">
              <a16:creationId xmlns:a16="http://schemas.microsoft.com/office/drawing/2014/main" id="{A1447338-A7A9-4190-81DE-7CDB26D189F3}"/>
            </a:ext>
          </a:extLst>
        </xdr:cNvPr>
        <xdr:cNvSpPr/>
      </xdr:nvSpPr>
      <xdr:spPr bwMode="auto">
        <a:xfrm>
          <a:off x="8593851" y="12790377"/>
          <a:ext cx="2742188" cy="503094"/>
        </a:xfrm>
        <a:prstGeom prst="rect">
          <a:avLst/>
        </a:pr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latin typeface="Segoe UI"/>
            </a:rPr>
            <a:t>Контроль выполнения ИБ-требований при написании манифестов</a:t>
          </a:r>
          <a:endParaRPr kumimoji="0" lang="en-US" sz="1200" b="0" i="0" u="none" strike="noStrike" kern="0" cap="none" spc="0" normalizeH="0" baseline="0">
            <a:ln>
              <a:noFill/>
            </a:ln>
            <a:solidFill>
              <a:srgbClr val="001031"/>
            </a:solidFill>
            <a:effectLst/>
            <a:uLnTx/>
            <a:uFillTx/>
            <a:latin typeface="Segoe UI"/>
          </a:endParaRPr>
        </a:p>
      </xdr:txBody>
    </xdr:sp>
    <xdr:clientData/>
  </xdr:twoCellAnchor>
  <xdr:twoCellAnchor>
    <xdr:from>
      <xdr:col>14</xdr:col>
      <xdr:colOff>601320</xdr:colOff>
      <xdr:row>53</xdr:row>
      <xdr:rowOff>118359</xdr:rowOff>
    </xdr:from>
    <xdr:to>
      <xdr:col>19</xdr:col>
      <xdr:colOff>295508</xdr:colOff>
      <xdr:row>56</xdr:row>
      <xdr:rowOff>72813</xdr:rowOff>
    </xdr:to>
    <xdr:sp macro="" textlink="">
      <xdr:nvSpPr>
        <xdr:cNvPr id="169" name="Прямоугольник 168">
          <a:extLst>
            <a:ext uri="{FF2B5EF4-FFF2-40B4-BE49-F238E27FC236}">
              <a16:creationId xmlns:a16="http://schemas.microsoft.com/office/drawing/2014/main" id="{B79C0CEA-D084-466B-A71D-BECFA0318E11}"/>
            </a:ext>
          </a:extLst>
        </xdr:cNvPr>
        <xdr:cNvSpPr/>
      </xdr:nvSpPr>
      <xdr:spPr bwMode="auto">
        <a:xfrm>
          <a:off x="9135720" y="11274039"/>
          <a:ext cx="2742188" cy="503094"/>
        </a:xfrm>
        <a:prstGeom prst="rect">
          <a:avLst/>
        </a:prstGeom>
        <a:solidFill>
          <a:schemeClr val="bg1">
            <a:lumMod val="95000"/>
          </a:schemeClr>
        </a:solid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tabLst/>
          </a:pPr>
          <a:r>
            <a:rPr lang="ru-RU" sz="1200" kern="0">
              <a:solidFill>
                <a:srgbClr val="001031"/>
              </a:solidFill>
              <a:latin typeface="Segoe UI"/>
            </a:rPr>
            <a:t>Контроль активности контейнера в режиме </a:t>
          </a:r>
          <a:r>
            <a:rPr lang="en-US" sz="1200" kern="0">
              <a:solidFill>
                <a:srgbClr val="001031"/>
              </a:solidFill>
              <a:latin typeface="Segoe UI"/>
            </a:rPr>
            <a:t>runtime</a:t>
          </a:r>
          <a:endParaRPr kumimoji="0" lang="en-US" sz="1200" b="0" i="0" u="none" strike="noStrike" kern="0" cap="none" spc="0" normalizeH="0" baseline="0">
            <a:ln>
              <a:noFill/>
            </a:ln>
            <a:solidFill>
              <a:srgbClr val="001031"/>
            </a:solidFill>
            <a:effectLst/>
            <a:uLnTx/>
            <a:uFillTx/>
            <a:latin typeface="Segoe UI"/>
          </a:endParaRPr>
        </a:p>
      </xdr:txBody>
    </xdr:sp>
    <xdr:clientData/>
  </xdr:twoCellAnchor>
  <xdr:twoCellAnchor editAs="oneCell">
    <xdr:from>
      <xdr:col>8</xdr:col>
      <xdr:colOff>329543</xdr:colOff>
      <xdr:row>48</xdr:row>
      <xdr:rowOff>147445</xdr:rowOff>
    </xdr:from>
    <xdr:to>
      <xdr:col>11</xdr:col>
      <xdr:colOff>124083</xdr:colOff>
      <xdr:row>57</xdr:row>
      <xdr:rowOff>76733</xdr:rowOff>
    </xdr:to>
    <xdr:pic>
      <xdr:nvPicPr>
        <xdr:cNvPr id="170" name="Picture 2">
          <a:extLst>
            <a:ext uri="{FF2B5EF4-FFF2-40B4-BE49-F238E27FC236}">
              <a16:creationId xmlns:a16="http://schemas.microsoft.com/office/drawing/2014/main" id="{9D5C08DB-FF64-404E-B24B-A9927038FF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06343" y="10388725"/>
          <a:ext cx="1623340" cy="15752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90294</xdr:colOff>
      <xdr:row>60</xdr:row>
      <xdr:rowOff>89171</xdr:rowOff>
    </xdr:from>
    <xdr:to>
      <xdr:col>13</xdr:col>
      <xdr:colOff>24665</xdr:colOff>
      <xdr:row>63</xdr:row>
      <xdr:rowOff>107913</xdr:rowOff>
    </xdr:to>
    <xdr:grpSp>
      <xdr:nvGrpSpPr>
        <xdr:cNvPr id="171" name="Группа 170">
          <a:extLst>
            <a:ext uri="{FF2B5EF4-FFF2-40B4-BE49-F238E27FC236}">
              <a16:creationId xmlns:a16="http://schemas.microsoft.com/office/drawing/2014/main" id="{46308570-7FD7-4723-A414-4CC1591F857D}"/>
            </a:ext>
          </a:extLst>
        </xdr:cNvPr>
        <xdr:cNvGrpSpPr>
          <a:grpSpLocks noChangeAspect="1"/>
        </xdr:cNvGrpSpPr>
      </xdr:nvGrpSpPr>
      <xdr:grpSpPr>
        <a:xfrm>
          <a:off x="7351706" y="11844142"/>
          <a:ext cx="539488" cy="590242"/>
          <a:chOff x="6044217" y="3060700"/>
          <a:chExt cx="1585308" cy="1653540"/>
        </a:xfrm>
      </xdr:grpSpPr>
      <xdr:sp macro="" textlink="">
        <xdr:nvSpPr>
          <xdr:cNvPr id="213" name="Скругленный прямоугольник 212">
            <a:extLst>
              <a:ext uri="{FF2B5EF4-FFF2-40B4-BE49-F238E27FC236}">
                <a16:creationId xmlns:a16="http://schemas.microsoft.com/office/drawing/2014/main" id="{D3401D27-261D-4C11-A4C3-179EC471EDB8}"/>
              </a:ext>
            </a:extLst>
          </xdr:cNvPr>
          <xdr:cNvSpPr/>
        </xdr:nvSpPr>
        <xdr:spPr>
          <a:xfrm>
            <a:off x="6044217" y="3060700"/>
            <a:ext cx="1358398" cy="1653540"/>
          </a:xfrm>
          <a:prstGeom prst="roundRect">
            <a:avLst>
              <a:gd name="adj" fmla="val 548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4" name="Овал 213">
            <a:extLst>
              <a:ext uri="{FF2B5EF4-FFF2-40B4-BE49-F238E27FC236}">
                <a16:creationId xmlns:a16="http://schemas.microsoft.com/office/drawing/2014/main" id="{92F52B67-0A3B-44D4-B874-AF27B75A217B}"/>
              </a:ext>
            </a:extLst>
          </xdr:cNvPr>
          <xdr:cNvSpPr/>
        </xdr:nvSpPr>
        <xdr:spPr>
          <a:xfrm>
            <a:off x="7057771" y="4043594"/>
            <a:ext cx="571754" cy="57175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5" name="Скругленный прямоугольник 214">
            <a:extLst>
              <a:ext uri="{FF2B5EF4-FFF2-40B4-BE49-F238E27FC236}">
                <a16:creationId xmlns:a16="http://schemas.microsoft.com/office/drawing/2014/main" id="{31328D0F-1389-441D-80AE-DF3B72EE1812}"/>
              </a:ext>
            </a:extLst>
          </xdr:cNvPr>
          <xdr:cNvSpPr/>
        </xdr:nvSpPr>
        <xdr:spPr>
          <a:xfrm>
            <a:off x="6162151" y="3178016"/>
            <a:ext cx="1122531" cy="1418908"/>
          </a:xfrm>
          <a:prstGeom prst="roundRect">
            <a:avLst>
              <a:gd name="adj" fmla="val 119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16" name="Группа 215">
            <a:extLst>
              <a:ext uri="{FF2B5EF4-FFF2-40B4-BE49-F238E27FC236}">
                <a16:creationId xmlns:a16="http://schemas.microsoft.com/office/drawing/2014/main" id="{87855A91-8B73-42D4-8E58-5BB5C52C8D1B}"/>
              </a:ext>
            </a:extLst>
          </xdr:cNvPr>
          <xdr:cNvGrpSpPr/>
        </xdr:nvGrpSpPr>
        <xdr:grpSpPr>
          <a:xfrm>
            <a:off x="6277113" y="3370508"/>
            <a:ext cx="892606" cy="720105"/>
            <a:chOff x="1802607" y="1871663"/>
            <a:chExt cx="1835944" cy="1481135"/>
          </a:xfrm>
          <a:solidFill>
            <a:srgbClr val="00B0F0"/>
          </a:solidFill>
        </xdr:grpSpPr>
        <xdr:sp macro="" textlink="">
          <xdr:nvSpPr>
            <xdr:cNvPr id="218" name="Скругленный прямоугольник 217">
              <a:extLst>
                <a:ext uri="{FF2B5EF4-FFF2-40B4-BE49-F238E27FC236}">
                  <a16:creationId xmlns:a16="http://schemas.microsoft.com/office/drawing/2014/main" id="{D7260630-5AF9-4035-B820-669F937C5A64}"/>
                </a:ext>
              </a:extLst>
            </xdr:cNvPr>
            <xdr:cNvSpPr/>
          </xdr:nvSpPr>
          <xdr:spPr>
            <a:xfrm>
              <a:off x="1802607" y="1871663"/>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9" name="Скругленный прямоугольник 218">
              <a:extLst>
                <a:ext uri="{FF2B5EF4-FFF2-40B4-BE49-F238E27FC236}">
                  <a16:creationId xmlns:a16="http://schemas.microsoft.com/office/drawing/2014/main" id="{4AC5A6B2-0492-415C-A2C1-107E4E392186}"/>
                </a:ext>
              </a:extLst>
            </xdr:cNvPr>
            <xdr:cNvSpPr/>
          </xdr:nvSpPr>
          <xdr:spPr>
            <a:xfrm>
              <a:off x="1802607" y="2209800"/>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0" name="Скругленный прямоугольник 219">
              <a:extLst>
                <a:ext uri="{FF2B5EF4-FFF2-40B4-BE49-F238E27FC236}">
                  <a16:creationId xmlns:a16="http://schemas.microsoft.com/office/drawing/2014/main" id="{0B3E0151-93F5-484F-A634-ABF53B51CA8A}"/>
                </a:ext>
              </a:extLst>
            </xdr:cNvPr>
            <xdr:cNvSpPr/>
          </xdr:nvSpPr>
          <xdr:spPr>
            <a:xfrm>
              <a:off x="1802607" y="2547937"/>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1" name="Скругленный прямоугольник 220">
              <a:extLst>
                <a:ext uri="{FF2B5EF4-FFF2-40B4-BE49-F238E27FC236}">
                  <a16:creationId xmlns:a16="http://schemas.microsoft.com/office/drawing/2014/main" id="{9CFE76C6-945A-45BA-A327-A6A3D142CD71}"/>
                </a:ext>
              </a:extLst>
            </xdr:cNvPr>
            <xdr:cNvSpPr/>
          </xdr:nvSpPr>
          <xdr:spPr>
            <a:xfrm>
              <a:off x="1802607" y="2886074"/>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2" name="Скругленный прямоугольник 221">
              <a:extLst>
                <a:ext uri="{FF2B5EF4-FFF2-40B4-BE49-F238E27FC236}">
                  <a16:creationId xmlns:a16="http://schemas.microsoft.com/office/drawing/2014/main" id="{DE9197CB-2473-4FC2-8107-DF4328DBD800}"/>
                </a:ext>
              </a:extLst>
            </xdr:cNvPr>
            <xdr:cNvSpPr/>
          </xdr:nvSpPr>
          <xdr:spPr>
            <a:xfrm>
              <a:off x="1802607" y="3224211"/>
              <a:ext cx="821531"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217" name="Freeform 67">
            <a:extLst>
              <a:ext uri="{FF2B5EF4-FFF2-40B4-BE49-F238E27FC236}">
                <a16:creationId xmlns:a16="http://schemas.microsoft.com/office/drawing/2014/main" id="{509BAA4A-7FA7-4E06-B70A-69225ED870D9}"/>
              </a:ext>
            </a:extLst>
          </xdr:cNvPr>
          <xdr:cNvSpPr/>
        </xdr:nvSpPr>
        <xdr:spPr>
          <a:xfrm rot="16200000" flipV="1">
            <a:off x="7093170" y="4077066"/>
            <a:ext cx="500956" cy="504812"/>
          </a:xfrm>
          <a:custGeom>
            <a:avLst/>
            <a:gdLst>
              <a:gd name="connsiteX0" fmla="*/ 905949 w 1321161"/>
              <a:gd name="connsiteY0" fmla="*/ 920334 h 1331323"/>
              <a:gd name="connsiteX1" fmla="*/ 389024 w 1321161"/>
              <a:gd name="connsiteY1" fmla="*/ 920334 h 1331323"/>
              <a:gd name="connsiteX2" fmla="*/ 389024 w 1321161"/>
              <a:gd name="connsiteY2" fmla="*/ 403409 h 1331323"/>
              <a:gd name="connsiteX3" fmla="*/ 905949 w 1321161"/>
              <a:gd name="connsiteY3" fmla="*/ 403409 h 1331323"/>
              <a:gd name="connsiteX4" fmla="*/ 905949 w 1321161"/>
              <a:gd name="connsiteY4" fmla="*/ 920334 h 1331323"/>
              <a:gd name="connsiteX5" fmla="*/ 1054093 w 1321161"/>
              <a:gd name="connsiteY5" fmla="*/ 1203699 h 1331323"/>
              <a:gd name="connsiteX6" fmla="*/ 1189314 w 1321161"/>
              <a:gd name="connsiteY6" fmla="*/ 1068478 h 1331323"/>
              <a:gd name="connsiteX7" fmla="*/ 1118748 w 1321161"/>
              <a:gd name="connsiteY7" fmla="*/ 926512 h 1331323"/>
              <a:gd name="connsiteX8" fmla="*/ 1150527 w 1321161"/>
              <a:gd name="connsiteY8" fmla="*/ 866122 h 1331323"/>
              <a:gd name="connsiteX9" fmla="*/ 1165601 w 1321161"/>
              <a:gd name="connsiteY9" fmla="*/ 819426 h 1331323"/>
              <a:gd name="connsiteX10" fmla="*/ 1321161 w 1321161"/>
              <a:gd name="connsiteY10" fmla="*/ 767166 h 1331323"/>
              <a:gd name="connsiteX11" fmla="*/ 1321161 w 1321161"/>
              <a:gd name="connsiteY11" fmla="*/ 575934 h 1331323"/>
              <a:gd name="connsiteX12" fmla="*/ 1171551 w 1321161"/>
              <a:gd name="connsiteY12" fmla="*/ 525672 h 1331323"/>
              <a:gd name="connsiteX13" fmla="*/ 1159842 w 1321161"/>
              <a:gd name="connsiteY13" fmla="*/ 482308 h 1331323"/>
              <a:gd name="connsiteX14" fmla="*/ 1123160 w 1321161"/>
              <a:gd name="connsiteY14" fmla="*/ 405865 h 1331323"/>
              <a:gd name="connsiteX15" fmla="*/ 1193555 w 1321161"/>
              <a:gd name="connsiteY15" fmla="*/ 264243 h 1331323"/>
              <a:gd name="connsiteX16" fmla="*/ 1058333 w 1321161"/>
              <a:gd name="connsiteY16" fmla="*/ 129022 h 1331323"/>
              <a:gd name="connsiteX17" fmla="*/ 922960 w 1321161"/>
              <a:gd name="connsiteY17" fmla="*/ 196311 h 1331323"/>
              <a:gd name="connsiteX18" fmla="*/ 851737 w 1321161"/>
              <a:gd name="connsiteY18" fmla="*/ 158831 h 1331323"/>
              <a:gd name="connsiteX19" fmla="*/ 803995 w 1321161"/>
              <a:gd name="connsiteY19" fmla="*/ 144682 h 1331323"/>
              <a:gd name="connsiteX20" fmla="*/ 755389 w 1321161"/>
              <a:gd name="connsiteY20" fmla="*/ 0 h 1331323"/>
              <a:gd name="connsiteX21" fmla="*/ 564157 w 1321161"/>
              <a:gd name="connsiteY21" fmla="*/ 0 h 1331323"/>
              <a:gd name="connsiteX22" fmla="*/ 518268 w 1321161"/>
              <a:gd name="connsiteY22" fmla="*/ 136594 h 1331323"/>
              <a:gd name="connsiteX23" fmla="*/ 443236 w 1321161"/>
              <a:gd name="connsiteY23" fmla="*/ 158831 h 1331323"/>
              <a:gd name="connsiteX24" fmla="*/ 381738 w 1321161"/>
              <a:gd name="connsiteY24" fmla="*/ 191193 h 1331323"/>
              <a:gd name="connsiteX25" fmla="*/ 243134 w 1321161"/>
              <a:gd name="connsiteY25" fmla="*/ 122297 h 1331323"/>
              <a:gd name="connsiteX26" fmla="*/ 107912 w 1321161"/>
              <a:gd name="connsiteY26" fmla="*/ 257519 h 1331323"/>
              <a:gd name="connsiteX27" fmla="*/ 176068 w 1321161"/>
              <a:gd name="connsiteY27" fmla="*/ 394636 h 1331323"/>
              <a:gd name="connsiteX28" fmla="*/ 166802 w 1321161"/>
              <a:gd name="connsiteY28" fmla="*/ 409452 h 1331323"/>
              <a:gd name="connsiteX29" fmla="*/ 123487 w 1321161"/>
              <a:gd name="connsiteY29" fmla="*/ 519957 h 1331323"/>
              <a:gd name="connsiteX30" fmla="*/ 121640 w 1321161"/>
              <a:gd name="connsiteY30" fmla="*/ 531740 h 1331323"/>
              <a:gd name="connsiteX31" fmla="*/ 0 w 1321161"/>
              <a:gd name="connsiteY31" fmla="*/ 572605 h 1331323"/>
              <a:gd name="connsiteX32" fmla="*/ 0 w 1321161"/>
              <a:gd name="connsiteY32" fmla="*/ 763837 h 1331323"/>
              <a:gd name="connsiteX33" fmla="*/ 127613 w 1321161"/>
              <a:gd name="connsiteY33" fmla="*/ 806708 h 1331323"/>
              <a:gd name="connsiteX34" fmla="*/ 144446 w 1321161"/>
              <a:gd name="connsiteY34" fmla="*/ 866122 h 1331323"/>
              <a:gd name="connsiteX35" fmla="*/ 177849 w 1321161"/>
              <a:gd name="connsiteY35" fmla="*/ 929597 h 1331323"/>
              <a:gd name="connsiteX36" fmla="*/ 109341 w 1321161"/>
              <a:gd name="connsiteY36" fmla="*/ 1067422 h 1331323"/>
              <a:gd name="connsiteX37" fmla="*/ 244562 w 1321161"/>
              <a:gd name="connsiteY37" fmla="*/ 1202644 h 1331323"/>
              <a:gd name="connsiteX38" fmla="*/ 381950 w 1321161"/>
              <a:gd name="connsiteY38" fmla="*/ 1134353 h 1331323"/>
              <a:gd name="connsiteX39" fmla="*/ 395067 w 1321161"/>
              <a:gd name="connsiteY39" fmla="*/ 1142556 h 1331323"/>
              <a:gd name="connsiteX40" fmla="*/ 505572 w 1321161"/>
              <a:gd name="connsiteY40" fmla="*/ 1185871 h 1331323"/>
              <a:gd name="connsiteX41" fmla="*/ 508621 w 1321161"/>
              <a:gd name="connsiteY41" fmla="*/ 1186349 h 1331323"/>
              <a:gd name="connsiteX42" fmla="*/ 557325 w 1321161"/>
              <a:gd name="connsiteY42" fmla="*/ 1331323 h 1331323"/>
              <a:gd name="connsiteX43" fmla="*/ 748557 w 1321161"/>
              <a:gd name="connsiteY43" fmla="*/ 1331323 h 1331323"/>
              <a:gd name="connsiteX44" fmla="*/ 799490 w 1321161"/>
              <a:gd name="connsiteY44" fmla="*/ 1179714 h 1331323"/>
              <a:gd name="connsiteX45" fmla="*/ 851737 w 1321161"/>
              <a:gd name="connsiteY45" fmla="*/ 1164912 h 1331323"/>
              <a:gd name="connsiteX46" fmla="*/ 912127 w 1321161"/>
              <a:gd name="connsiteY46" fmla="*/ 1133133 h 1331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1321161" h="1331323">
                <a:moveTo>
                  <a:pt x="905949" y="920334"/>
                </a:moveTo>
                <a:cubicBezTo>
                  <a:pt x="763204" y="1063079"/>
                  <a:pt x="531769" y="1063079"/>
                  <a:pt x="389024" y="920334"/>
                </a:cubicBezTo>
                <a:cubicBezTo>
                  <a:pt x="246279" y="777589"/>
                  <a:pt x="246279" y="546154"/>
                  <a:pt x="389024" y="403409"/>
                </a:cubicBezTo>
                <a:cubicBezTo>
                  <a:pt x="531769" y="260664"/>
                  <a:pt x="763204" y="260664"/>
                  <a:pt x="905949" y="403409"/>
                </a:cubicBezTo>
                <a:cubicBezTo>
                  <a:pt x="1048694" y="546154"/>
                  <a:pt x="1048694" y="777589"/>
                  <a:pt x="905949" y="920334"/>
                </a:cubicBezTo>
                <a:close/>
                <a:moveTo>
                  <a:pt x="1054093" y="1203699"/>
                </a:moveTo>
                <a:lnTo>
                  <a:pt x="1189314" y="1068478"/>
                </a:lnTo>
                <a:lnTo>
                  <a:pt x="1118748" y="926512"/>
                </a:lnTo>
                <a:lnTo>
                  <a:pt x="1150527" y="866122"/>
                </a:lnTo>
                <a:lnTo>
                  <a:pt x="1165601" y="819426"/>
                </a:lnTo>
                <a:lnTo>
                  <a:pt x="1321161" y="767166"/>
                </a:lnTo>
                <a:lnTo>
                  <a:pt x="1321161" y="575934"/>
                </a:lnTo>
                <a:lnTo>
                  <a:pt x="1171551" y="525672"/>
                </a:lnTo>
                <a:lnTo>
                  <a:pt x="1159842" y="482308"/>
                </a:lnTo>
                <a:lnTo>
                  <a:pt x="1123160" y="405865"/>
                </a:lnTo>
                <a:lnTo>
                  <a:pt x="1193555" y="264243"/>
                </a:lnTo>
                <a:lnTo>
                  <a:pt x="1058333" y="129022"/>
                </a:lnTo>
                <a:lnTo>
                  <a:pt x="922960" y="196311"/>
                </a:lnTo>
                <a:lnTo>
                  <a:pt x="851737" y="158831"/>
                </a:lnTo>
                <a:lnTo>
                  <a:pt x="803995" y="144682"/>
                </a:lnTo>
                <a:lnTo>
                  <a:pt x="755389" y="0"/>
                </a:lnTo>
                <a:lnTo>
                  <a:pt x="564157" y="0"/>
                </a:lnTo>
                <a:lnTo>
                  <a:pt x="518268" y="136594"/>
                </a:lnTo>
                <a:lnTo>
                  <a:pt x="443236" y="158831"/>
                </a:lnTo>
                <a:lnTo>
                  <a:pt x="381738" y="191193"/>
                </a:lnTo>
                <a:lnTo>
                  <a:pt x="243134" y="122297"/>
                </a:lnTo>
                <a:lnTo>
                  <a:pt x="107912" y="257519"/>
                </a:lnTo>
                <a:lnTo>
                  <a:pt x="176068" y="394636"/>
                </a:lnTo>
                <a:lnTo>
                  <a:pt x="166802" y="409452"/>
                </a:lnTo>
                <a:cubicBezTo>
                  <a:pt x="148172" y="444903"/>
                  <a:pt x="133733" y="481983"/>
                  <a:pt x="123487" y="519957"/>
                </a:cubicBezTo>
                <a:lnTo>
                  <a:pt x="121640" y="531740"/>
                </a:lnTo>
                <a:lnTo>
                  <a:pt x="0" y="572605"/>
                </a:lnTo>
                <a:lnTo>
                  <a:pt x="0" y="763837"/>
                </a:lnTo>
                <a:lnTo>
                  <a:pt x="127613" y="806708"/>
                </a:lnTo>
                <a:lnTo>
                  <a:pt x="144446" y="866122"/>
                </a:lnTo>
                <a:lnTo>
                  <a:pt x="177849" y="929597"/>
                </a:lnTo>
                <a:lnTo>
                  <a:pt x="109341" y="1067422"/>
                </a:lnTo>
                <a:lnTo>
                  <a:pt x="244562" y="1202644"/>
                </a:lnTo>
                <a:lnTo>
                  <a:pt x="381950" y="1134353"/>
                </a:lnTo>
                <a:lnTo>
                  <a:pt x="395067" y="1142556"/>
                </a:lnTo>
                <a:cubicBezTo>
                  <a:pt x="430519" y="1161186"/>
                  <a:pt x="467598" y="1175624"/>
                  <a:pt x="505572" y="1185871"/>
                </a:cubicBezTo>
                <a:lnTo>
                  <a:pt x="508621" y="1186349"/>
                </a:lnTo>
                <a:lnTo>
                  <a:pt x="557325" y="1331323"/>
                </a:lnTo>
                <a:lnTo>
                  <a:pt x="748557" y="1331323"/>
                </a:lnTo>
                <a:lnTo>
                  <a:pt x="799490" y="1179714"/>
                </a:lnTo>
                <a:lnTo>
                  <a:pt x="851737" y="1164912"/>
                </a:lnTo>
                <a:lnTo>
                  <a:pt x="912127" y="1133133"/>
                </a:ln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9</xdr:col>
      <xdr:colOff>308050</xdr:colOff>
      <xdr:row>64</xdr:row>
      <xdr:rowOff>26518</xdr:rowOff>
    </xdr:from>
    <xdr:to>
      <xdr:col>10</xdr:col>
      <xdr:colOff>145576</xdr:colOff>
      <xdr:row>67</xdr:row>
      <xdr:rowOff>45260</xdr:rowOff>
    </xdr:to>
    <xdr:grpSp>
      <xdr:nvGrpSpPr>
        <xdr:cNvPr id="172" name="Группа 171">
          <a:extLst>
            <a:ext uri="{FF2B5EF4-FFF2-40B4-BE49-F238E27FC236}">
              <a16:creationId xmlns:a16="http://schemas.microsoft.com/office/drawing/2014/main" id="{C9D3190D-7742-4D14-B048-12E5C32E43C9}"/>
            </a:ext>
          </a:extLst>
        </xdr:cNvPr>
        <xdr:cNvGrpSpPr>
          <a:grpSpLocks noChangeAspect="1"/>
        </xdr:cNvGrpSpPr>
      </xdr:nvGrpSpPr>
      <xdr:grpSpPr>
        <a:xfrm>
          <a:off x="5754109" y="12543489"/>
          <a:ext cx="442643" cy="590242"/>
          <a:chOff x="7194469" y="5115484"/>
          <a:chExt cx="685782" cy="870226"/>
        </a:xfrm>
        <a:solidFill>
          <a:srgbClr val="0033CC"/>
        </a:solidFill>
      </xdr:grpSpPr>
      <xdr:sp macro="" textlink="">
        <xdr:nvSpPr>
          <xdr:cNvPr id="201" name="Полилиния 200">
            <a:extLst>
              <a:ext uri="{FF2B5EF4-FFF2-40B4-BE49-F238E27FC236}">
                <a16:creationId xmlns:a16="http://schemas.microsoft.com/office/drawing/2014/main" id="{9B30AA1D-81D3-4774-840B-6867DA7F0283}"/>
              </a:ext>
            </a:extLst>
          </xdr:cNvPr>
          <xdr:cNvSpPr/>
        </xdr:nvSpPr>
        <xdr:spPr>
          <a:xfrm rot="18488263" flipV="1">
            <a:off x="7386075" y="5465009"/>
            <a:ext cx="136173" cy="13617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2" name="Полилиния 201">
            <a:extLst>
              <a:ext uri="{FF2B5EF4-FFF2-40B4-BE49-F238E27FC236}">
                <a16:creationId xmlns:a16="http://schemas.microsoft.com/office/drawing/2014/main" id="{8C527EFC-4807-42E4-ACC9-4BF281F858D7}"/>
              </a:ext>
            </a:extLst>
          </xdr:cNvPr>
          <xdr:cNvSpPr/>
        </xdr:nvSpPr>
        <xdr:spPr>
          <a:xfrm rot="18394870" flipV="1">
            <a:off x="7234632" y="5288687"/>
            <a:ext cx="201330" cy="201330"/>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3" name="Полилиния 202">
            <a:extLst>
              <a:ext uri="{FF2B5EF4-FFF2-40B4-BE49-F238E27FC236}">
                <a16:creationId xmlns:a16="http://schemas.microsoft.com/office/drawing/2014/main" id="{C7600001-C076-411A-8282-ECA26BAD9C1E}"/>
              </a:ext>
            </a:extLst>
          </xdr:cNvPr>
          <xdr:cNvSpPr/>
        </xdr:nvSpPr>
        <xdr:spPr>
          <a:xfrm rot="18590369" flipV="1">
            <a:off x="7597139" y="5451452"/>
            <a:ext cx="260692" cy="305533"/>
          </a:xfrm>
          <a:custGeom>
            <a:avLst/>
            <a:gdLst>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35071 w 1796535"/>
              <a:gd name="connsiteY25" fmla="*/ 599465 h 2105550"/>
              <a:gd name="connsiteX26" fmla="*/ 743761 w 1796535"/>
              <a:gd name="connsiteY26" fmla="*/ 598632 h 2105550"/>
              <a:gd name="connsiteX27" fmla="*/ 1064888 w 1796535"/>
              <a:gd name="connsiteY27" fmla="*/ 731647 h 2105550"/>
              <a:gd name="connsiteX28" fmla="*/ 1064888 w 1796535"/>
              <a:gd name="connsiteY28" fmla="*/ 1373903 h 2105550"/>
              <a:gd name="connsiteX29" fmla="*/ 493876 w 1796535"/>
              <a:gd name="connsiteY29" fmla="*/ 1432097 h 2105550"/>
              <a:gd name="connsiteX30" fmla="*/ 484968 w 1796535"/>
              <a:gd name="connsiteY30" fmla="*/ 1424821 h 2105550"/>
              <a:gd name="connsiteX31" fmla="*/ 184804 w 1796535"/>
              <a:gd name="connsiteY31" fmla="*/ 1740103 h 2105550"/>
              <a:gd name="connsiteX32" fmla="*/ 0 w 1796535"/>
              <a:gd name="connsiteY32" fmla="*/ 1744642 h 2105550"/>
              <a:gd name="connsiteX33" fmla="*/ 149989 w 1796535"/>
              <a:gd name="connsiteY33" fmla="*/ 1894631 h 2105550"/>
              <a:gd name="connsiteX34" fmla="*/ 226808 w 1796535"/>
              <a:gd name="connsiteY34" fmla="*/ 1894631 h 2105550"/>
              <a:gd name="connsiteX35" fmla="*/ 344262 w 1796535"/>
              <a:gd name="connsiteY35" fmla="*/ 1777177 h 2105550"/>
              <a:gd name="connsiteX36" fmla="*/ 358637 w 1796535"/>
              <a:gd name="connsiteY36" fmla="*/ 1786168 h 2105550"/>
              <a:gd name="connsiteX37" fmla="*/ 497123 w 1796535"/>
              <a:gd name="connsiteY37" fmla="*/ 1840452 h 2105550"/>
              <a:gd name="connsiteX38" fmla="*/ 497123 w 1796535"/>
              <a:gd name="connsiteY38" fmla="*/ 2051230 h 2105550"/>
              <a:gd name="connsiteX39" fmla="*/ 551443 w 1796535"/>
              <a:gd name="connsiteY39" fmla="*/ 2105550 h 2105550"/>
              <a:gd name="connsiteX40" fmla="*/ 902287 w 1796535"/>
              <a:gd name="connsiteY40" fmla="*/ 2105550 h 2105550"/>
              <a:gd name="connsiteX41" fmla="*/ 956607 w 1796535"/>
              <a:gd name="connsiteY41" fmla="*/ 2051230 h 2105550"/>
              <a:gd name="connsiteX42" fmla="*/ 956607 w 1796535"/>
              <a:gd name="connsiteY42" fmla="*/ 1848264 h 2105550"/>
              <a:gd name="connsiteX43" fmla="*/ 1055390 w 1796535"/>
              <a:gd name="connsiteY43" fmla="*/ 1820279 h 2105550"/>
              <a:gd name="connsiteX44" fmla="*/ 1141203 w 1796535"/>
              <a:gd name="connsiteY44" fmla="*/ 1775122 h 2105550"/>
              <a:gd name="connsiteX45" fmla="*/ 1290937 w 1796535"/>
              <a:gd name="connsiteY45" fmla="*/ 1924853 h 2105550"/>
              <a:gd name="connsiteX46" fmla="*/ 1367757 w 1796535"/>
              <a:gd name="connsiteY46" fmla="*/ 1924853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43761 w 1796535"/>
              <a:gd name="connsiteY25" fmla="*/ 598632 h 2105550"/>
              <a:gd name="connsiteX26" fmla="*/ 1064888 w 1796535"/>
              <a:gd name="connsiteY26" fmla="*/ 731647 h 2105550"/>
              <a:gd name="connsiteX27" fmla="*/ 1064888 w 1796535"/>
              <a:gd name="connsiteY27" fmla="*/ 1373903 h 2105550"/>
              <a:gd name="connsiteX28" fmla="*/ 493876 w 1796535"/>
              <a:gd name="connsiteY28" fmla="*/ 1432097 h 2105550"/>
              <a:gd name="connsiteX29" fmla="*/ 484968 w 1796535"/>
              <a:gd name="connsiteY29" fmla="*/ 1424821 h 2105550"/>
              <a:gd name="connsiteX30" fmla="*/ 184804 w 1796535"/>
              <a:gd name="connsiteY30" fmla="*/ 1740103 h 2105550"/>
              <a:gd name="connsiteX31" fmla="*/ 0 w 1796535"/>
              <a:gd name="connsiteY31" fmla="*/ 1744642 h 2105550"/>
              <a:gd name="connsiteX32" fmla="*/ 149989 w 1796535"/>
              <a:gd name="connsiteY32" fmla="*/ 1894631 h 2105550"/>
              <a:gd name="connsiteX33" fmla="*/ 226808 w 1796535"/>
              <a:gd name="connsiteY33" fmla="*/ 1894631 h 2105550"/>
              <a:gd name="connsiteX34" fmla="*/ 344262 w 1796535"/>
              <a:gd name="connsiteY34" fmla="*/ 1777177 h 2105550"/>
              <a:gd name="connsiteX35" fmla="*/ 358637 w 1796535"/>
              <a:gd name="connsiteY35" fmla="*/ 1786168 h 2105550"/>
              <a:gd name="connsiteX36" fmla="*/ 497123 w 1796535"/>
              <a:gd name="connsiteY36" fmla="*/ 1840452 h 2105550"/>
              <a:gd name="connsiteX37" fmla="*/ 497123 w 1796535"/>
              <a:gd name="connsiteY37" fmla="*/ 2051230 h 2105550"/>
              <a:gd name="connsiteX38" fmla="*/ 551443 w 1796535"/>
              <a:gd name="connsiteY38" fmla="*/ 2105550 h 2105550"/>
              <a:gd name="connsiteX39" fmla="*/ 902287 w 1796535"/>
              <a:gd name="connsiteY39" fmla="*/ 2105550 h 2105550"/>
              <a:gd name="connsiteX40" fmla="*/ 956607 w 1796535"/>
              <a:gd name="connsiteY40" fmla="*/ 2051230 h 2105550"/>
              <a:gd name="connsiteX41" fmla="*/ 956607 w 1796535"/>
              <a:gd name="connsiteY41" fmla="*/ 1848264 h 2105550"/>
              <a:gd name="connsiteX42" fmla="*/ 1055390 w 1796535"/>
              <a:gd name="connsiteY42" fmla="*/ 1820279 h 2105550"/>
              <a:gd name="connsiteX43" fmla="*/ 1141203 w 1796535"/>
              <a:gd name="connsiteY43" fmla="*/ 1775122 h 2105550"/>
              <a:gd name="connsiteX44" fmla="*/ 1290937 w 1796535"/>
              <a:gd name="connsiteY44" fmla="*/ 1924853 h 2105550"/>
              <a:gd name="connsiteX45" fmla="*/ 1367757 w 1796535"/>
              <a:gd name="connsiteY45" fmla="*/ 1924853 h 2105550"/>
              <a:gd name="connsiteX46" fmla="*/ 1615840 w 1796535"/>
              <a:gd name="connsiteY46" fmla="*/ 1676769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43761 w 1796535"/>
              <a:gd name="connsiteY24" fmla="*/ 598632 h 2105550"/>
              <a:gd name="connsiteX25" fmla="*/ 1064888 w 1796535"/>
              <a:gd name="connsiteY25" fmla="*/ 731647 h 2105550"/>
              <a:gd name="connsiteX26" fmla="*/ 1064888 w 1796535"/>
              <a:gd name="connsiteY26" fmla="*/ 1373903 h 2105550"/>
              <a:gd name="connsiteX27" fmla="*/ 493876 w 1796535"/>
              <a:gd name="connsiteY27" fmla="*/ 1432097 h 2105550"/>
              <a:gd name="connsiteX28" fmla="*/ 484968 w 1796535"/>
              <a:gd name="connsiteY28" fmla="*/ 1424821 h 2105550"/>
              <a:gd name="connsiteX29" fmla="*/ 184804 w 1796535"/>
              <a:gd name="connsiteY29" fmla="*/ 1740103 h 2105550"/>
              <a:gd name="connsiteX30" fmla="*/ 0 w 1796535"/>
              <a:gd name="connsiteY30" fmla="*/ 1744642 h 2105550"/>
              <a:gd name="connsiteX31" fmla="*/ 149989 w 1796535"/>
              <a:gd name="connsiteY31" fmla="*/ 1894631 h 2105550"/>
              <a:gd name="connsiteX32" fmla="*/ 226808 w 1796535"/>
              <a:gd name="connsiteY32" fmla="*/ 1894631 h 2105550"/>
              <a:gd name="connsiteX33" fmla="*/ 344262 w 1796535"/>
              <a:gd name="connsiteY33" fmla="*/ 1777177 h 2105550"/>
              <a:gd name="connsiteX34" fmla="*/ 358637 w 1796535"/>
              <a:gd name="connsiteY34" fmla="*/ 1786168 h 2105550"/>
              <a:gd name="connsiteX35" fmla="*/ 497123 w 1796535"/>
              <a:gd name="connsiteY35" fmla="*/ 1840452 h 2105550"/>
              <a:gd name="connsiteX36" fmla="*/ 497123 w 1796535"/>
              <a:gd name="connsiteY36" fmla="*/ 2051230 h 2105550"/>
              <a:gd name="connsiteX37" fmla="*/ 551443 w 1796535"/>
              <a:gd name="connsiteY37" fmla="*/ 2105550 h 2105550"/>
              <a:gd name="connsiteX38" fmla="*/ 902287 w 1796535"/>
              <a:gd name="connsiteY38" fmla="*/ 2105550 h 2105550"/>
              <a:gd name="connsiteX39" fmla="*/ 956607 w 1796535"/>
              <a:gd name="connsiteY39" fmla="*/ 2051230 h 2105550"/>
              <a:gd name="connsiteX40" fmla="*/ 956607 w 1796535"/>
              <a:gd name="connsiteY40" fmla="*/ 1848264 h 2105550"/>
              <a:gd name="connsiteX41" fmla="*/ 1055390 w 1796535"/>
              <a:gd name="connsiteY41" fmla="*/ 1820279 h 2105550"/>
              <a:gd name="connsiteX42" fmla="*/ 1141203 w 1796535"/>
              <a:gd name="connsiteY42" fmla="*/ 1775122 h 2105550"/>
              <a:gd name="connsiteX43" fmla="*/ 1290937 w 1796535"/>
              <a:gd name="connsiteY43" fmla="*/ 1924853 h 2105550"/>
              <a:gd name="connsiteX44" fmla="*/ 1367757 w 1796535"/>
              <a:gd name="connsiteY44" fmla="*/ 1924853 h 2105550"/>
              <a:gd name="connsiteX45" fmla="*/ 1615840 w 1796535"/>
              <a:gd name="connsiteY45" fmla="*/ 1676769 h 21055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1796535" h="2105550">
                <a:moveTo>
                  <a:pt x="1615840" y="1676769"/>
                </a:moveTo>
                <a:cubicBezTo>
                  <a:pt x="1615840" y="1651162"/>
                  <a:pt x="1615841" y="1625556"/>
                  <a:pt x="1615841" y="1599949"/>
                </a:cubicBezTo>
                <a:lnTo>
                  <a:pt x="1466107" y="1450218"/>
                </a:lnTo>
                <a:lnTo>
                  <a:pt x="1511264" y="1364405"/>
                </a:lnTo>
                <a:lnTo>
                  <a:pt x="1539250" y="1265620"/>
                </a:lnTo>
                <a:lnTo>
                  <a:pt x="1742215" y="1265620"/>
                </a:lnTo>
                <a:lnTo>
                  <a:pt x="1796535" y="1211299"/>
                </a:lnTo>
                <a:lnTo>
                  <a:pt x="1796535" y="860456"/>
                </a:lnTo>
                <a:lnTo>
                  <a:pt x="1742215" y="806138"/>
                </a:lnTo>
                <a:lnTo>
                  <a:pt x="1531437" y="806136"/>
                </a:lnTo>
                <a:lnTo>
                  <a:pt x="1477153" y="667652"/>
                </a:lnTo>
                <a:lnTo>
                  <a:pt x="1468165" y="653277"/>
                </a:lnTo>
                <a:lnTo>
                  <a:pt x="1585616" y="535823"/>
                </a:lnTo>
                <a:lnTo>
                  <a:pt x="1585616" y="459003"/>
                </a:lnTo>
                <a:lnTo>
                  <a:pt x="1337531" y="210919"/>
                </a:lnTo>
                <a:lnTo>
                  <a:pt x="1260712" y="210920"/>
                </a:lnTo>
                <a:lnTo>
                  <a:pt x="1141203" y="330428"/>
                </a:lnTo>
                <a:lnTo>
                  <a:pt x="1055390" y="285274"/>
                </a:lnTo>
                <a:lnTo>
                  <a:pt x="990399" y="266011"/>
                </a:lnTo>
                <a:lnTo>
                  <a:pt x="990399" y="54320"/>
                </a:lnTo>
                <a:lnTo>
                  <a:pt x="936079" y="0"/>
                </a:lnTo>
                <a:lnTo>
                  <a:pt x="585235" y="0"/>
                </a:lnTo>
                <a:lnTo>
                  <a:pt x="565925" y="19311"/>
                </a:lnTo>
                <a:lnTo>
                  <a:pt x="680472" y="97613"/>
                </a:lnTo>
                <a:lnTo>
                  <a:pt x="743761" y="598632"/>
                </a:lnTo>
                <a:cubicBezTo>
                  <a:pt x="859986" y="598632"/>
                  <a:pt x="976211" y="642970"/>
                  <a:pt x="1064888" y="731647"/>
                </a:cubicBezTo>
                <a:cubicBezTo>
                  <a:pt x="1242244" y="909001"/>
                  <a:pt x="1242244" y="1196549"/>
                  <a:pt x="1064888" y="1373903"/>
                </a:cubicBezTo>
                <a:cubicBezTo>
                  <a:pt x="909704" y="1529087"/>
                  <a:pt x="670153" y="1548485"/>
                  <a:pt x="493876" y="1432097"/>
                </a:cubicBezTo>
                <a:lnTo>
                  <a:pt x="484968" y="1424821"/>
                </a:lnTo>
                <a:lnTo>
                  <a:pt x="184804" y="1740103"/>
                </a:lnTo>
                <a:lnTo>
                  <a:pt x="0" y="1744642"/>
                </a:lnTo>
                <a:lnTo>
                  <a:pt x="149989" y="1894631"/>
                </a:lnTo>
                <a:lnTo>
                  <a:pt x="226808" y="1894631"/>
                </a:lnTo>
                <a:lnTo>
                  <a:pt x="344262" y="1777177"/>
                </a:lnTo>
                <a:lnTo>
                  <a:pt x="358637" y="1786168"/>
                </a:lnTo>
                <a:lnTo>
                  <a:pt x="497123" y="1840452"/>
                </a:lnTo>
                <a:lnTo>
                  <a:pt x="497123" y="2051230"/>
                </a:lnTo>
                <a:lnTo>
                  <a:pt x="551443" y="2105550"/>
                </a:lnTo>
                <a:lnTo>
                  <a:pt x="902287" y="2105550"/>
                </a:lnTo>
                <a:lnTo>
                  <a:pt x="956607" y="2051230"/>
                </a:lnTo>
                <a:lnTo>
                  <a:pt x="956607" y="1848264"/>
                </a:lnTo>
                <a:lnTo>
                  <a:pt x="1055390" y="1820279"/>
                </a:lnTo>
                <a:lnTo>
                  <a:pt x="1141203" y="1775122"/>
                </a:lnTo>
                <a:lnTo>
                  <a:pt x="1290937" y="1924853"/>
                </a:lnTo>
                <a:lnTo>
                  <a:pt x="1367757" y="1924853"/>
                </a:lnTo>
                <a:lnTo>
                  <a:pt x="1615840" y="1676769"/>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4" name="Полилиния 203">
            <a:extLst>
              <a:ext uri="{FF2B5EF4-FFF2-40B4-BE49-F238E27FC236}">
                <a16:creationId xmlns:a16="http://schemas.microsoft.com/office/drawing/2014/main" id="{9ADD60C7-3B30-4260-90B2-13F19CE97747}"/>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5" name="Полилиния 204">
            <a:extLst>
              <a:ext uri="{FF2B5EF4-FFF2-40B4-BE49-F238E27FC236}">
                <a16:creationId xmlns:a16="http://schemas.microsoft.com/office/drawing/2014/main" id="{54D182D5-9CF6-4203-BEDA-7C05F2CCFF6A}"/>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6" name="Полилиния 205">
            <a:extLst>
              <a:ext uri="{FF2B5EF4-FFF2-40B4-BE49-F238E27FC236}">
                <a16:creationId xmlns:a16="http://schemas.microsoft.com/office/drawing/2014/main" id="{D92DDDD9-3372-4661-A02B-6FA860DF0F60}"/>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7" name="Полилиния 206">
            <a:extLst>
              <a:ext uri="{FF2B5EF4-FFF2-40B4-BE49-F238E27FC236}">
                <a16:creationId xmlns:a16="http://schemas.microsoft.com/office/drawing/2014/main" id="{6EE531B5-A685-4D21-B6A7-E6868400E2C9}"/>
              </a:ext>
            </a:extLst>
          </xdr:cNvPr>
          <xdr:cNvSpPr/>
        </xdr:nvSpPr>
        <xdr:spPr>
          <a:xfrm>
            <a:off x="7194482" y="5507581"/>
            <a:ext cx="246888" cy="478129"/>
          </a:xfrm>
          <a:custGeom>
            <a:avLst/>
            <a:gdLst>
              <a:gd name="connsiteX0" fmla="*/ 219137 w 246888"/>
              <a:gd name="connsiteY0" fmla="*/ 411073 h 478129"/>
              <a:gd name="connsiteX1" fmla="*/ 208069 w 246888"/>
              <a:gd name="connsiteY1" fmla="*/ 438878 h 478129"/>
              <a:gd name="connsiteX2" fmla="*/ 218921 w 246888"/>
              <a:gd name="connsiteY2" fmla="*/ 465064 h 478129"/>
              <a:gd name="connsiteX3" fmla="*/ 229503 w 246888"/>
              <a:gd name="connsiteY3" fmla="*/ 438068 h 478129"/>
              <a:gd name="connsiteX4" fmla="*/ 219137 w 246888"/>
              <a:gd name="connsiteY4" fmla="*/ 411073 h 478129"/>
              <a:gd name="connsiteX5" fmla="*/ 28399 w 246888"/>
              <a:gd name="connsiteY5" fmla="*/ 411073 h 478129"/>
              <a:gd name="connsiteX6" fmla="*/ 17331 w 246888"/>
              <a:gd name="connsiteY6" fmla="*/ 438878 h 478129"/>
              <a:gd name="connsiteX7" fmla="*/ 28183 w 246888"/>
              <a:gd name="connsiteY7" fmla="*/ 465064 h 478129"/>
              <a:gd name="connsiteX8" fmla="*/ 38765 w 246888"/>
              <a:gd name="connsiteY8" fmla="*/ 438068 h 478129"/>
              <a:gd name="connsiteX9" fmla="*/ 28399 w 246888"/>
              <a:gd name="connsiteY9" fmla="*/ 411073 h 478129"/>
              <a:gd name="connsiteX10" fmla="*/ 219893 w 246888"/>
              <a:gd name="connsiteY10" fmla="*/ 398061 h 478129"/>
              <a:gd name="connsiteX11" fmla="*/ 246888 w 246888"/>
              <a:gd name="connsiteY11" fmla="*/ 437528 h 478129"/>
              <a:gd name="connsiteX12" fmla="*/ 239519 w 246888"/>
              <a:gd name="connsiteY12" fmla="*/ 467655 h 478129"/>
              <a:gd name="connsiteX13" fmla="*/ 218381 w 246888"/>
              <a:gd name="connsiteY13" fmla="*/ 478129 h 478129"/>
              <a:gd name="connsiteX14" fmla="*/ 190738 w 246888"/>
              <a:gd name="connsiteY14" fmla="*/ 439310 h 478129"/>
              <a:gd name="connsiteX15" fmla="*/ 198216 w 246888"/>
              <a:gd name="connsiteY15" fmla="*/ 408616 h 478129"/>
              <a:gd name="connsiteX16" fmla="*/ 219893 w 246888"/>
              <a:gd name="connsiteY16" fmla="*/ 398061 h 478129"/>
              <a:gd name="connsiteX17" fmla="*/ 165600 w 246888"/>
              <a:gd name="connsiteY17" fmla="*/ 398061 h 478129"/>
              <a:gd name="connsiteX18" fmla="*/ 165600 w 246888"/>
              <a:gd name="connsiteY18" fmla="*/ 463282 h 478129"/>
              <a:gd name="connsiteX19" fmla="*/ 181527 w 246888"/>
              <a:gd name="connsiteY19" fmla="*/ 463282 h 478129"/>
              <a:gd name="connsiteX20" fmla="*/ 181527 w 246888"/>
              <a:gd name="connsiteY20" fmla="*/ 476779 h 478129"/>
              <a:gd name="connsiteX21" fmla="*/ 132558 w 246888"/>
              <a:gd name="connsiteY21" fmla="*/ 476779 h 478129"/>
              <a:gd name="connsiteX22" fmla="*/ 132558 w 246888"/>
              <a:gd name="connsiteY22" fmla="*/ 463282 h 478129"/>
              <a:gd name="connsiteX23" fmla="*/ 148593 w 246888"/>
              <a:gd name="connsiteY23" fmla="*/ 463282 h 478129"/>
              <a:gd name="connsiteX24" fmla="*/ 148593 w 246888"/>
              <a:gd name="connsiteY24" fmla="*/ 415068 h 478129"/>
              <a:gd name="connsiteX25" fmla="*/ 132126 w 246888"/>
              <a:gd name="connsiteY25" fmla="*/ 418632 h 478129"/>
              <a:gd name="connsiteX26" fmla="*/ 132126 w 246888"/>
              <a:gd name="connsiteY26" fmla="*/ 404810 h 478129"/>
              <a:gd name="connsiteX27" fmla="*/ 102021 w 246888"/>
              <a:gd name="connsiteY27" fmla="*/ 398061 h 478129"/>
              <a:gd name="connsiteX28" fmla="*/ 102021 w 246888"/>
              <a:gd name="connsiteY28" fmla="*/ 463282 h 478129"/>
              <a:gd name="connsiteX29" fmla="*/ 117948 w 246888"/>
              <a:gd name="connsiteY29" fmla="*/ 463282 h 478129"/>
              <a:gd name="connsiteX30" fmla="*/ 117948 w 246888"/>
              <a:gd name="connsiteY30" fmla="*/ 476779 h 478129"/>
              <a:gd name="connsiteX31" fmla="*/ 68979 w 246888"/>
              <a:gd name="connsiteY31" fmla="*/ 476779 h 478129"/>
              <a:gd name="connsiteX32" fmla="*/ 68979 w 246888"/>
              <a:gd name="connsiteY32" fmla="*/ 463282 h 478129"/>
              <a:gd name="connsiteX33" fmla="*/ 85014 w 246888"/>
              <a:gd name="connsiteY33" fmla="*/ 463282 h 478129"/>
              <a:gd name="connsiteX34" fmla="*/ 85014 w 246888"/>
              <a:gd name="connsiteY34" fmla="*/ 415068 h 478129"/>
              <a:gd name="connsiteX35" fmla="*/ 68547 w 246888"/>
              <a:gd name="connsiteY35" fmla="*/ 418632 h 478129"/>
              <a:gd name="connsiteX36" fmla="*/ 68547 w 246888"/>
              <a:gd name="connsiteY36" fmla="*/ 404810 h 478129"/>
              <a:gd name="connsiteX37" fmla="*/ 29155 w 246888"/>
              <a:gd name="connsiteY37" fmla="*/ 398061 h 478129"/>
              <a:gd name="connsiteX38" fmla="*/ 56150 w 246888"/>
              <a:gd name="connsiteY38" fmla="*/ 437528 h 478129"/>
              <a:gd name="connsiteX39" fmla="*/ 48780 w 246888"/>
              <a:gd name="connsiteY39" fmla="*/ 467655 h 478129"/>
              <a:gd name="connsiteX40" fmla="*/ 27643 w 246888"/>
              <a:gd name="connsiteY40" fmla="*/ 478129 h 478129"/>
              <a:gd name="connsiteX41" fmla="*/ 0 w 246888"/>
              <a:gd name="connsiteY41" fmla="*/ 439310 h 478129"/>
              <a:gd name="connsiteX42" fmla="*/ 7477 w 246888"/>
              <a:gd name="connsiteY42" fmla="*/ 408616 h 478129"/>
              <a:gd name="connsiteX43" fmla="*/ 29155 w 246888"/>
              <a:gd name="connsiteY43" fmla="*/ 398061 h 478129"/>
              <a:gd name="connsiteX44" fmla="*/ 155558 w 246888"/>
              <a:gd name="connsiteY44" fmla="*/ 278385 h 478129"/>
              <a:gd name="connsiteX45" fmla="*/ 144490 w 246888"/>
              <a:gd name="connsiteY45" fmla="*/ 306191 h 478129"/>
              <a:gd name="connsiteX46" fmla="*/ 155342 w 246888"/>
              <a:gd name="connsiteY46" fmla="*/ 332376 h 478129"/>
              <a:gd name="connsiteX47" fmla="*/ 165924 w 246888"/>
              <a:gd name="connsiteY47" fmla="*/ 305381 h 478129"/>
              <a:gd name="connsiteX48" fmla="*/ 155558 w 246888"/>
              <a:gd name="connsiteY48" fmla="*/ 278385 h 478129"/>
              <a:gd name="connsiteX49" fmla="*/ 91979 w 246888"/>
              <a:gd name="connsiteY49" fmla="*/ 278385 h 478129"/>
              <a:gd name="connsiteX50" fmla="*/ 80911 w 246888"/>
              <a:gd name="connsiteY50" fmla="*/ 306191 h 478129"/>
              <a:gd name="connsiteX51" fmla="*/ 91763 w 246888"/>
              <a:gd name="connsiteY51" fmla="*/ 332376 h 478129"/>
              <a:gd name="connsiteX52" fmla="*/ 102345 w 246888"/>
              <a:gd name="connsiteY52" fmla="*/ 305381 h 478129"/>
              <a:gd name="connsiteX53" fmla="*/ 91979 w 246888"/>
              <a:gd name="connsiteY53" fmla="*/ 278385 h 478129"/>
              <a:gd name="connsiteX54" fmla="*/ 28399 w 246888"/>
              <a:gd name="connsiteY54" fmla="*/ 278385 h 478129"/>
              <a:gd name="connsiteX55" fmla="*/ 17331 w 246888"/>
              <a:gd name="connsiteY55" fmla="*/ 306191 h 478129"/>
              <a:gd name="connsiteX56" fmla="*/ 28183 w 246888"/>
              <a:gd name="connsiteY56" fmla="*/ 332376 h 478129"/>
              <a:gd name="connsiteX57" fmla="*/ 38765 w 246888"/>
              <a:gd name="connsiteY57" fmla="*/ 305381 h 478129"/>
              <a:gd name="connsiteX58" fmla="*/ 28399 w 246888"/>
              <a:gd name="connsiteY58" fmla="*/ 278385 h 478129"/>
              <a:gd name="connsiteX59" fmla="*/ 229179 w 246888"/>
              <a:gd name="connsiteY59" fmla="*/ 265374 h 478129"/>
              <a:gd name="connsiteX60" fmla="*/ 229179 w 246888"/>
              <a:gd name="connsiteY60" fmla="*/ 330594 h 478129"/>
              <a:gd name="connsiteX61" fmla="*/ 245106 w 246888"/>
              <a:gd name="connsiteY61" fmla="*/ 330594 h 478129"/>
              <a:gd name="connsiteX62" fmla="*/ 245106 w 246888"/>
              <a:gd name="connsiteY62" fmla="*/ 344092 h 478129"/>
              <a:gd name="connsiteX63" fmla="*/ 196137 w 246888"/>
              <a:gd name="connsiteY63" fmla="*/ 344092 h 478129"/>
              <a:gd name="connsiteX64" fmla="*/ 196137 w 246888"/>
              <a:gd name="connsiteY64" fmla="*/ 330594 h 478129"/>
              <a:gd name="connsiteX65" fmla="*/ 212172 w 246888"/>
              <a:gd name="connsiteY65" fmla="*/ 330594 h 478129"/>
              <a:gd name="connsiteX66" fmla="*/ 212172 w 246888"/>
              <a:gd name="connsiteY66" fmla="*/ 282381 h 478129"/>
              <a:gd name="connsiteX67" fmla="*/ 195705 w 246888"/>
              <a:gd name="connsiteY67" fmla="*/ 285944 h 478129"/>
              <a:gd name="connsiteX68" fmla="*/ 195705 w 246888"/>
              <a:gd name="connsiteY68" fmla="*/ 272122 h 478129"/>
              <a:gd name="connsiteX69" fmla="*/ 156314 w 246888"/>
              <a:gd name="connsiteY69" fmla="*/ 265374 h 478129"/>
              <a:gd name="connsiteX70" fmla="*/ 183309 w 246888"/>
              <a:gd name="connsiteY70" fmla="*/ 304841 h 478129"/>
              <a:gd name="connsiteX71" fmla="*/ 175939 w 246888"/>
              <a:gd name="connsiteY71" fmla="*/ 334968 h 478129"/>
              <a:gd name="connsiteX72" fmla="*/ 154802 w 246888"/>
              <a:gd name="connsiteY72" fmla="*/ 345442 h 478129"/>
              <a:gd name="connsiteX73" fmla="*/ 127159 w 246888"/>
              <a:gd name="connsiteY73" fmla="*/ 306622 h 478129"/>
              <a:gd name="connsiteX74" fmla="*/ 134636 w 246888"/>
              <a:gd name="connsiteY74" fmla="*/ 275929 h 478129"/>
              <a:gd name="connsiteX75" fmla="*/ 156314 w 246888"/>
              <a:gd name="connsiteY75" fmla="*/ 265374 h 478129"/>
              <a:gd name="connsiteX76" fmla="*/ 92735 w 246888"/>
              <a:gd name="connsiteY76" fmla="*/ 265374 h 478129"/>
              <a:gd name="connsiteX77" fmla="*/ 119730 w 246888"/>
              <a:gd name="connsiteY77" fmla="*/ 304841 h 478129"/>
              <a:gd name="connsiteX78" fmla="*/ 112360 w 246888"/>
              <a:gd name="connsiteY78" fmla="*/ 334968 h 478129"/>
              <a:gd name="connsiteX79" fmla="*/ 91223 w 246888"/>
              <a:gd name="connsiteY79" fmla="*/ 345442 h 478129"/>
              <a:gd name="connsiteX80" fmla="*/ 63580 w 246888"/>
              <a:gd name="connsiteY80" fmla="*/ 306622 h 478129"/>
              <a:gd name="connsiteX81" fmla="*/ 71057 w 246888"/>
              <a:gd name="connsiteY81" fmla="*/ 275929 h 478129"/>
              <a:gd name="connsiteX82" fmla="*/ 92735 w 246888"/>
              <a:gd name="connsiteY82" fmla="*/ 265374 h 478129"/>
              <a:gd name="connsiteX83" fmla="*/ 29155 w 246888"/>
              <a:gd name="connsiteY83" fmla="*/ 265374 h 478129"/>
              <a:gd name="connsiteX84" fmla="*/ 56150 w 246888"/>
              <a:gd name="connsiteY84" fmla="*/ 304841 h 478129"/>
              <a:gd name="connsiteX85" fmla="*/ 48780 w 246888"/>
              <a:gd name="connsiteY85" fmla="*/ 334968 h 478129"/>
              <a:gd name="connsiteX86" fmla="*/ 27643 w 246888"/>
              <a:gd name="connsiteY86" fmla="*/ 345442 h 478129"/>
              <a:gd name="connsiteX87" fmla="*/ 0 w 246888"/>
              <a:gd name="connsiteY87" fmla="*/ 306622 h 478129"/>
              <a:gd name="connsiteX88" fmla="*/ 7477 w 246888"/>
              <a:gd name="connsiteY88" fmla="*/ 275929 h 478129"/>
              <a:gd name="connsiteX89" fmla="*/ 29155 w 246888"/>
              <a:gd name="connsiteY89" fmla="*/ 265374 h 478129"/>
              <a:gd name="connsiteX90" fmla="*/ 219137 w 246888"/>
              <a:gd name="connsiteY90" fmla="*/ 145698 h 478129"/>
              <a:gd name="connsiteX91" fmla="*/ 208069 w 246888"/>
              <a:gd name="connsiteY91" fmla="*/ 173504 h 478129"/>
              <a:gd name="connsiteX92" fmla="*/ 218921 w 246888"/>
              <a:gd name="connsiteY92" fmla="*/ 199689 h 478129"/>
              <a:gd name="connsiteX93" fmla="*/ 229503 w 246888"/>
              <a:gd name="connsiteY93" fmla="*/ 172694 h 478129"/>
              <a:gd name="connsiteX94" fmla="*/ 219137 w 246888"/>
              <a:gd name="connsiteY94" fmla="*/ 145698 h 478129"/>
              <a:gd name="connsiteX95" fmla="*/ 28399 w 246888"/>
              <a:gd name="connsiteY95" fmla="*/ 145698 h 478129"/>
              <a:gd name="connsiteX96" fmla="*/ 17331 w 246888"/>
              <a:gd name="connsiteY96" fmla="*/ 173504 h 478129"/>
              <a:gd name="connsiteX97" fmla="*/ 28183 w 246888"/>
              <a:gd name="connsiteY97" fmla="*/ 199689 h 478129"/>
              <a:gd name="connsiteX98" fmla="*/ 38765 w 246888"/>
              <a:gd name="connsiteY98" fmla="*/ 172694 h 478129"/>
              <a:gd name="connsiteX99" fmla="*/ 28399 w 246888"/>
              <a:gd name="connsiteY99" fmla="*/ 145698 h 478129"/>
              <a:gd name="connsiteX100" fmla="*/ 219893 w 246888"/>
              <a:gd name="connsiteY100" fmla="*/ 132687 h 478129"/>
              <a:gd name="connsiteX101" fmla="*/ 246888 w 246888"/>
              <a:gd name="connsiteY101" fmla="*/ 172154 h 478129"/>
              <a:gd name="connsiteX102" fmla="*/ 239519 w 246888"/>
              <a:gd name="connsiteY102" fmla="*/ 202281 h 478129"/>
              <a:gd name="connsiteX103" fmla="*/ 218381 w 246888"/>
              <a:gd name="connsiteY103" fmla="*/ 212755 h 478129"/>
              <a:gd name="connsiteX104" fmla="*/ 190738 w 246888"/>
              <a:gd name="connsiteY104" fmla="*/ 173935 h 478129"/>
              <a:gd name="connsiteX105" fmla="*/ 198216 w 246888"/>
              <a:gd name="connsiteY105" fmla="*/ 143242 h 478129"/>
              <a:gd name="connsiteX106" fmla="*/ 219893 w 246888"/>
              <a:gd name="connsiteY106" fmla="*/ 132687 h 478129"/>
              <a:gd name="connsiteX107" fmla="*/ 165600 w 246888"/>
              <a:gd name="connsiteY107" fmla="*/ 132687 h 478129"/>
              <a:gd name="connsiteX108" fmla="*/ 165600 w 246888"/>
              <a:gd name="connsiteY108" fmla="*/ 197907 h 478129"/>
              <a:gd name="connsiteX109" fmla="*/ 181527 w 246888"/>
              <a:gd name="connsiteY109" fmla="*/ 197907 h 478129"/>
              <a:gd name="connsiteX110" fmla="*/ 181527 w 246888"/>
              <a:gd name="connsiteY110" fmla="*/ 211405 h 478129"/>
              <a:gd name="connsiteX111" fmla="*/ 132558 w 246888"/>
              <a:gd name="connsiteY111" fmla="*/ 211405 h 478129"/>
              <a:gd name="connsiteX112" fmla="*/ 132558 w 246888"/>
              <a:gd name="connsiteY112" fmla="*/ 197907 h 478129"/>
              <a:gd name="connsiteX113" fmla="*/ 148593 w 246888"/>
              <a:gd name="connsiteY113" fmla="*/ 197907 h 478129"/>
              <a:gd name="connsiteX114" fmla="*/ 148593 w 246888"/>
              <a:gd name="connsiteY114" fmla="*/ 149694 h 478129"/>
              <a:gd name="connsiteX115" fmla="*/ 132126 w 246888"/>
              <a:gd name="connsiteY115" fmla="*/ 153257 h 478129"/>
              <a:gd name="connsiteX116" fmla="*/ 132126 w 246888"/>
              <a:gd name="connsiteY116" fmla="*/ 139435 h 478129"/>
              <a:gd name="connsiteX117" fmla="*/ 102021 w 246888"/>
              <a:gd name="connsiteY117" fmla="*/ 132687 h 478129"/>
              <a:gd name="connsiteX118" fmla="*/ 102021 w 246888"/>
              <a:gd name="connsiteY118" fmla="*/ 197907 h 478129"/>
              <a:gd name="connsiteX119" fmla="*/ 117948 w 246888"/>
              <a:gd name="connsiteY119" fmla="*/ 197907 h 478129"/>
              <a:gd name="connsiteX120" fmla="*/ 117948 w 246888"/>
              <a:gd name="connsiteY120" fmla="*/ 211405 h 478129"/>
              <a:gd name="connsiteX121" fmla="*/ 68979 w 246888"/>
              <a:gd name="connsiteY121" fmla="*/ 211405 h 478129"/>
              <a:gd name="connsiteX122" fmla="*/ 68979 w 246888"/>
              <a:gd name="connsiteY122" fmla="*/ 197907 h 478129"/>
              <a:gd name="connsiteX123" fmla="*/ 85014 w 246888"/>
              <a:gd name="connsiteY123" fmla="*/ 197907 h 478129"/>
              <a:gd name="connsiteX124" fmla="*/ 85014 w 246888"/>
              <a:gd name="connsiteY124" fmla="*/ 149694 h 478129"/>
              <a:gd name="connsiteX125" fmla="*/ 68547 w 246888"/>
              <a:gd name="connsiteY125" fmla="*/ 153257 h 478129"/>
              <a:gd name="connsiteX126" fmla="*/ 68547 w 246888"/>
              <a:gd name="connsiteY126" fmla="*/ 139435 h 478129"/>
              <a:gd name="connsiteX127" fmla="*/ 29155 w 246888"/>
              <a:gd name="connsiteY127" fmla="*/ 132687 h 478129"/>
              <a:gd name="connsiteX128" fmla="*/ 56150 w 246888"/>
              <a:gd name="connsiteY128" fmla="*/ 172154 h 478129"/>
              <a:gd name="connsiteX129" fmla="*/ 48780 w 246888"/>
              <a:gd name="connsiteY129" fmla="*/ 202281 h 478129"/>
              <a:gd name="connsiteX130" fmla="*/ 27643 w 246888"/>
              <a:gd name="connsiteY130" fmla="*/ 212755 h 478129"/>
              <a:gd name="connsiteX131" fmla="*/ 0 w 246888"/>
              <a:gd name="connsiteY131" fmla="*/ 173935 h 478129"/>
              <a:gd name="connsiteX132" fmla="*/ 7477 w 246888"/>
              <a:gd name="connsiteY132" fmla="*/ 143242 h 478129"/>
              <a:gd name="connsiteX133" fmla="*/ 29155 w 246888"/>
              <a:gd name="connsiteY133" fmla="*/ 132687 h 478129"/>
              <a:gd name="connsiteX134" fmla="*/ 28399 w 246888"/>
              <a:gd name="connsiteY134" fmla="*/ 13011 h 478129"/>
              <a:gd name="connsiteX135" fmla="*/ 17331 w 246888"/>
              <a:gd name="connsiteY135" fmla="*/ 40817 h 478129"/>
              <a:gd name="connsiteX136" fmla="*/ 28183 w 246888"/>
              <a:gd name="connsiteY136" fmla="*/ 67002 h 478129"/>
              <a:gd name="connsiteX137" fmla="*/ 38765 w 246888"/>
              <a:gd name="connsiteY137" fmla="*/ 40007 h 478129"/>
              <a:gd name="connsiteX138" fmla="*/ 28399 w 246888"/>
              <a:gd name="connsiteY138" fmla="*/ 13011 h 478129"/>
              <a:gd name="connsiteX139" fmla="*/ 102021 w 246888"/>
              <a:gd name="connsiteY139" fmla="*/ 0 h 478129"/>
              <a:gd name="connsiteX140" fmla="*/ 102021 w 246888"/>
              <a:gd name="connsiteY140" fmla="*/ 65220 h 478129"/>
              <a:gd name="connsiteX141" fmla="*/ 117948 w 246888"/>
              <a:gd name="connsiteY141" fmla="*/ 65220 h 478129"/>
              <a:gd name="connsiteX142" fmla="*/ 117948 w 246888"/>
              <a:gd name="connsiteY142" fmla="*/ 78718 h 478129"/>
              <a:gd name="connsiteX143" fmla="*/ 68979 w 246888"/>
              <a:gd name="connsiteY143" fmla="*/ 78718 h 478129"/>
              <a:gd name="connsiteX144" fmla="*/ 68979 w 246888"/>
              <a:gd name="connsiteY144" fmla="*/ 65220 h 478129"/>
              <a:gd name="connsiteX145" fmla="*/ 85014 w 246888"/>
              <a:gd name="connsiteY145" fmla="*/ 65220 h 478129"/>
              <a:gd name="connsiteX146" fmla="*/ 85014 w 246888"/>
              <a:gd name="connsiteY146" fmla="*/ 17007 h 478129"/>
              <a:gd name="connsiteX147" fmla="*/ 68547 w 246888"/>
              <a:gd name="connsiteY147" fmla="*/ 20570 h 478129"/>
              <a:gd name="connsiteX148" fmla="*/ 68547 w 246888"/>
              <a:gd name="connsiteY148" fmla="*/ 6748 h 478129"/>
              <a:gd name="connsiteX149" fmla="*/ 29155 w 246888"/>
              <a:gd name="connsiteY149" fmla="*/ 0 h 478129"/>
              <a:gd name="connsiteX150" fmla="*/ 56150 w 246888"/>
              <a:gd name="connsiteY150" fmla="*/ 39467 h 478129"/>
              <a:gd name="connsiteX151" fmla="*/ 48780 w 246888"/>
              <a:gd name="connsiteY151" fmla="*/ 69594 h 478129"/>
              <a:gd name="connsiteX152" fmla="*/ 27643 w 246888"/>
              <a:gd name="connsiteY152" fmla="*/ 80068 h 478129"/>
              <a:gd name="connsiteX153" fmla="*/ 0 w 246888"/>
              <a:gd name="connsiteY153" fmla="*/ 41248 h 478129"/>
              <a:gd name="connsiteX154" fmla="*/ 7477 w 246888"/>
              <a:gd name="connsiteY154" fmla="*/ 10555 h 478129"/>
              <a:gd name="connsiteX155" fmla="*/ 29155 w 246888"/>
              <a:gd name="connsiteY155" fmla="*/ 0 h 4781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Lst>
            <a:rect l="l" t="t" r="r" b="b"/>
            <a:pathLst>
              <a:path w="246888" h="478129">
                <a:moveTo>
                  <a:pt x="219137" y="411073"/>
                </a:moveTo>
                <a:cubicBezTo>
                  <a:pt x="211758" y="411073"/>
                  <a:pt x="208069" y="420341"/>
                  <a:pt x="208069" y="438878"/>
                </a:cubicBezTo>
                <a:cubicBezTo>
                  <a:pt x="208069" y="456335"/>
                  <a:pt x="211686" y="465064"/>
                  <a:pt x="218921" y="465064"/>
                </a:cubicBezTo>
                <a:cubicBezTo>
                  <a:pt x="225976" y="465064"/>
                  <a:pt x="229503" y="456065"/>
                  <a:pt x="229503" y="438068"/>
                </a:cubicBezTo>
                <a:cubicBezTo>
                  <a:pt x="229503" y="420071"/>
                  <a:pt x="226048" y="411073"/>
                  <a:pt x="219137" y="411073"/>
                </a:cubicBezTo>
                <a:close/>
                <a:moveTo>
                  <a:pt x="28399" y="411073"/>
                </a:moveTo>
                <a:cubicBezTo>
                  <a:pt x="21020" y="411073"/>
                  <a:pt x="17331" y="420341"/>
                  <a:pt x="17331" y="438878"/>
                </a:cubicBezTo>
                <a:cubicBezTo>
                  <a:pt x="17331" y="456335"/>
                  <a:pt x="20948" y="465064"/>
                  <a:pt x="28183" y="465064"/>
                </a:cubicBezTo>
                <a:cubicBezTo>
                  <a:pt x="35238" y="465064"/>
                  <a:pt x="38765" y="456065"/>
                  <a:pt x="38765" y="438068"/>
                </a:cubicBezTo>
                <a:cubicBezTo>
                  <a:pt x="38765" y="420071"/>
                  <a:pt x="35309" y="411073"/>
                  <a:pt x="28399" y="411073"/>
                </a:cubicBezTo>
                <a:close/>
                <a:moveTo>
                  <a:pt x="219893" y="398061"/>
                </a:moveTo>
                <a:cubicBezTo>
                  <a:pt x="237890" y="398061"/>
                  <a:pt x="246888" y="411217"/>
                  <a:pt x="246888" y="437528"/>
                </a:cubicBezTo>
                <a:cubicBezTo>
                  <a:pt x="246888" y="450630"/>
                  <a:pt x="244432" y="460672"/>
                  <a:pt x="239519" y="467655"/>
                </a:cubicBezTo>
                <a:cubicBezTo>
                  <a:pt x="234605" y="474638"/>
                  <a:pt x="227560" y="478129"/>
                  <a:pt x="218381" y="478129"/>
                </a:cubicBezTo>
                <a:cubicBezTo>
                  <a:pt x="199953" y="478129"/>
                  <a:pt x="190738" y="465190"/>
                  <a:pt x="190738" y="439310"/>
                </a:cubicBezTo>
                <a:cubicBezTo>
                  <a:pt x="190738" y="425884"/>
                  <a:pt x="193231" y="415653"/>
                  <a:pt x="198216" y="408616"/>
                </a:cubicBezTo>
                <a:cubicBezTo>
                  <a:pt x="203201" y="401580"/>
                  <a:pt x="210427" y="398061"/>
                  <a:pt x="219893" y="398061"/>
                </a:cubicBezTo>
                <a:close/>
                <a:moveTo>
                  <a:pt x="165600" y="398061"/>
                </a:moveTo>
                <a:lnTo>
                  <a:pt x="165600" y="463282"/>
                </a:lnTo>
                <a:lnTo>
                  <a:pt x="181527" y="463282"/>
                </a:lnTo>
                <a:lnTo>
                  <a:pt x="181527" y="476779"/>
                </a:lnTo>
                <a:lnTo>
                  <a:pt x="132558" y="476779"/>
                </a:lnTo>
                <a:lnTo>
                  <a:pt x="132558" y="463282"/>
                </a:lnTo>
                <a:lnTo>
                  <a:pt x="148593" y="463282"/>
                </a:lnTo>
                <a:lnTo>
                  <a:pt x="148593" y="415068"/>
                </a:lnTo>
                <a:lnTo>
                  <a:pt x="132126" y="418632"/>
                </a:lnTo>
                <a:lnTo>
                  <a:pt x="132126" y="404810"/>
                </a:lnTo>
                <a:close/>
                <a:moveTo>
                  <a:pt x="102021" y="398061"/>
                </a:moveTo>
                <a:lnTo>
                  <a:pt x="102021" y="463282"/>
                </a:lnTo>
                <a:lnTo>
                  <a:pt x="117948" y="463282"/>
                </a:lnTo>
                <a:lnTo>
                  <a:pt x="117948" y="476779"/>
                </a:lnTo>
                <a:lnTo>
                  <a:pt x="68979" y="476779"/>
                </a:lnTo>
                <a:lnTo>
                  <a:pt x="68979" y="463282"/>
                </a:lnTo>
                <a:lnTo>
                  <a:pt x="85014" y="463282"/>
                </a:lnTo>
                <a:lnTo>
                  <a:pt x="85014" y="415068"/>
                </a:lnTo>
                <a:lnTo>
                  <a:pt x="68547" y="418632"/>
                </a:lnTo>
                <a:lnTo>
                  <a:pt x="68547" y="404810"/>
                </a:lnTo>
                <a:close/>
                <a:moveTo>
                  <a:pt x="29155" y="398061"/>
                </a:moveTo>
                <a:cubicBezTo>
                  <a:pt x="47151" y="398061"/>
                  <a:pt x="56150" y="411217"/>
                  <a:pt x="56150" y="437528"/>
                </a:cubicBezTo>
                <a:cubicBezTo>
                  <a:pt x="56150" y="450630"/>
                  <a:pt x="53693" y="460672"/>
                  <a:pt x="48780" y="467655"/>
                </a:cubicBezTo>
                <a:cubicBezTo>
                  <a:pt x="43867" y="474638"/>
                  <a:pt x="36821" y="478129"/>
                  <a:pt x="27643" y="478129"/>
                </a:cubicBezTo>
                <a:cubicBezTo>
                  <a:pt x="9214" y="478129"/>
                  <a:pt x="0" y="465190"/>
                  <a:pt x="0" y="439310"/>
                </a:cubicBezTo>
                <a:cubicBezTo>
                  <a:pt x="0" y="425884"/>
                  <a:pt x="2492" y="415653"/>
                  <a:pt x="7477" y="408616"/>
                </a:cubicBezTo>
                <a:cubicBezTo>
                  <a:pt x="12463" y="401580"/>
                  <a:pt x="19688" y="398061"/>
                  <a:pt x="29155" y="398061"/>
                </a:cubicBezTo>
                <a:close/>
                <a:moveTo>
                  <a:pt x="155558" y="278385"/>
                </a:moveTo>
                <a:cubicBezTo>
                  <a:pt x="148179" y="278385"/>
                  <a:pt x="144490" y="287654"/>
                  <a:pt x="144490" y="306191"/>
                </a:cubicBezTo>
                <a:cubicBezTo>
                  <a:pt x="144490" y="323647"/>
                  <a:pt x="148107" y="332376"/>
                  <a:pt x="155342" y="332376"/>
                </a:cubicBezTo>
                <a:cubicBezTo>
                  <a:pt x="162397" y="332376"/>
                  <a:pt x="165924" y="323378"/>
                  <a:pt x="165924" y="305381"/>
                </a:cubicBezTo>
                <a:cubicBezTo>
                  <a:pt x="165924" y="287384"/>
                  <a:pt x="162468" y="278385"/>
                  <a:pt x="155558" y="278385"/>
                </a:cubicBezTo>
                <a:close/>
                <a:moveTo>
                  <a:pt x="91979" y="278385"/>
                </a:moveTo>
                <a:cubicBezTo>
                  <a:pt x="84600" y="278385"/>
                  <a:pt x="80911" y="287654"/>
                  <a:pt x="80911" y="306191"/>
                </a:cubicBezTo>
                <a:cubicBezTo>
                  <a:pt x="80911" y="323647"/>
                  <a:pt x="84528" y="332376"/>
                  <a:pt x="91763" y="332376"/>
                </a:cubicBezTo>
                <a:cubicBezTo>
                  <a:pt x="98818" y="332376"/>
                  <a:pt x="102345" y="323378"/>
                  <a:pt x="102345" y="305381"/>
                </a:cubicBezTo>
                <a:cubicBezTo>
                  <a:pt x="102345" y="287384"/>
                  <a:pt x="98889" y="278385"/>
                  <a:pt x="91979" y="278385"/>
                </a:cubicBezTo>
                <a:close/>
                <a:moveTo>
                  <a:pt x="28399" y="278385"/>
                </a:moveTo>
                <a:cubicBezTo>
                  <a:pt x="21020" y="278385"/>
                  <a:pt x="17331" y="287654"/>
                  <a:pt x="17331" y="306191"/>
                </a:cubicBezTo>
                <a:cubicBezTo>
                  <a:pt x="17331" y="323647"/>
                  <a:pt x="20948" y="332376"/>
                  <a:pt x="28183" y="332376"/>
                </a:cubicBezTo>
                <a:cubicBezTo>
                  <a:pt x="35238" y="332376"/>
                  <a:pt x="38765" y="323378"/>
                  <a:pt x="38765" y="305381"/>
                </a:cubicBezTo>
                <a:cubicBezTo>
                  <a:pt x="38765" y="287384"/>
                  <a:pt x="35309" y="278385"/>
                  <a:pt x="28399" y="278385"/>
                </a:cubicBezTo>
                <a:close/>
                <a:moveTo>
                  <a:pt x="229179" y="265374"/>
                </a:moveTo>
                <a:lnTo>
                  <a:pt x="229179" y="330594"/>
                </a:lnTo>
                <a:lnTo>
                  <a:pt x="245106" y="330594"/>
                </a:lnTo>
                <a:lnTo>
                  <a:pt x="245106" y="344092"/>
                </a:lnTo>
                <a:lnTo>
                  <a:pt x="196137" y="344092"/>
                </a:lnTo>
                <a:lnTo>
                  <a:pt x="196137" y="330594"/>
                </a:lnTo>
                <a:lnTo>
                  <a:pt x="212172" y="330594"/>
                </a:lnTo>
                <a:lnTo>
                  <a:pt x="212172" y="282381"/>
                </a:lnTo>
                <a:lnTo>
                  <a:pt x="195705" y="285944"/>
                </a:lnTo>
                <a:lnTo>
                  <a:pt x="195705" y="272122"/>
                </a:lnTo>
                <a:close/>
                <a:moveTo>
                  <a:pt x="156314" y="265374"/>
                </a:moveTo>
                <a:cubicBezTo>
                  <a:pt x="174310" y="265374"/>
                  <a:pt x="183309" y="278529"/>
                  <a:pt x="183309" y="304841"/>
                </a:cubicBezTo>
                <a:cubicBezTo>
                  <a:pt x="183309" y="317943"/>
                  <a:pt x="180852" y="327985"/>
                  <a:pt x="175939" y="334968"/>
                </a:cubicBezTo>
                <a:cubicBezTo>
                  <a:pt x="171026" y="341950"/>
                  <a:pt x="163980" y="345442"/>
                  <a:pt x="154802" y="345442"/>
                </a:cubicBezTo>
                <a:cubicBezTo>
                  <a:pt x="136373" y="345442"/>
                  <a:pt x="127159" y="332502"/>
                  <a:pt x="127159" y="306622"/>
                </a:cubicBezTo>
                <a:cubicBezTo>
                  <a:pt x="127159" y="293197"/>
                  <a:pt x="129651" y="282966"/>
                  <a:pt x="134636" y="275929"/>
                </a:cubicBezTo>
                <a:cubicBezTo>
                  <a:pt x="139622" y="268892"/>
                  <a:pt x="146847" y="265374"/>
                  <a:pt x="156314" y="265374"/>
                </a:cubicBezTo>
                <a:close/>
                <a:moveTo>
                  <a:pt x="92735" y="265374"/>
                </a:moveTo>
                <a:cubicBezTo>
                  <a:pt x="110731" y="265374"/>
                  <a:pt x="119730" y="278529"/>
                  <a:pt x="119730" y="304841"/>
                </a:cubicBezTo>
                <a:cubicBezTo>
                  <a:pt x="119730" y="317943"/>
                  <a:pt x="117273" y="327985"/>
                  <a:pt x="112360" y="334968"/>
                </a:cubicBezTo>
                <a:cubicBezTo>
                  <a:pt x="107447" y="341950"/>
                  <a:pt x="100401" y="345442"/>
                  <a:pt x="91223" y="345442"/>
                </a:cubicBezTo>
                <a:cubicBezTo>
                  <a:pt x="72794" y="345442"/>
                  <a:pt x="63580" y="332502"/>
                  <a:pt x="63580" y="306622"/>
                </a:cubicBezTo>
                <a:cubicBezTo>
                  <a:pt x="63580" y="293197"/>
                  <a:pt x="66072" y="282966"/>
                  <a:pt x="71057" y="275929"/>
                </a:cubicBezTo>
                <a:cubicBezTo>
                  <a:pt x="76043" y="268892"/>
                  <a:pt x="83268" y="265374"/>
                  <a:pt x="92735" y="265374"/>
                </a:cubicBezTo>
                <a:close/>
                <a:moveTo>
                  <a:pt x="29155" y="265374"/>
                </a:moveTo>
                <a:cubicBezTo>
                  <a:pt x="47151" y="265374"/>
                  <a:pt x="56150" y="278529"/>
                  <a:pt x="56150" y="304841"/>
                </a:cubicBezTo>
                <a:cubicBezTo>
                  <a:pt x="56150" y="317943"/>
                  <a:pt x="53693" y="327985"/>
                  <a:pt x="48780" y="334968"/>
                </a:cubicBezTo>
                <a:cubicBezTo>
                  <a:pt x="43867" y="341950"/>
                  <a:pt x="36821" y="345442"/>
                  <a:pt x="27643" y="345442"/>
                </a:cubicBezTo>
                <a:cubicBezTo>
                  <a:pt x="9214" y="345442"/>
                  <a:pt x="0" y="332502"/>
                  <a:pt x="0" y="306622"/>
                </a:cubicBezTo>
                <a:cubicBezTo>
                  <a:pt x="0" y="293197"/>
                  <a:pt x="2492" y="282966"/>
                  <a:pt x="7477" y="275929"/>
                </a:cubicBezTo>
                <a:cubicBezTo>
                  <a:pt x="12463" y="268892"/>
                  <a:pt x="19688" y="265374"/>
                  <a:pt x="29155" y="265374"/>
                </a:cubicBezTo>
                <a:close/>
                <a:moveTo>
                  <a:pt x="219137" y="145698"/>
                </a:moveTo>
                <a:cubicBezTo>
                  <a:pt x="211758" y="145698"/>
                  <a:pt x="208069" y="154967"/>
                  <a:pt x="208069" y="173504"/>
                </a:cubicBezTo>
                <a:cubicBezTo>
                  <a:pt x="208069" y="190961"/>
                  <a:pt x="211686" y="199689"/>
                  <a:pt x="218921" y="199689"/>
                </a:cubicBezTo>
                <a:cubicBezTo>
                  <a:pt x="225976" y="199689"/>
                  <a:pt x="229503" y="190691"/>
                  <a:pt x="229503" y="172694"/>
                </a:cubicBezTo>
                <a:cubicBezTo>
                  <a:pt x="229503" y="154697"/>
                  <a:pt x="226048" y="145698"/>
                  <a:pt x="219137" y="145698"/>
                </a:cubicBezTo>
                <a:close/>
                <a:moveTo>
                  <a:pt x="28399" y="145698"/>
                </a:moveTo>
                <a:cubicBezTo>
                  <a:pt x="21020" y="145698"/>
                  <a:pt x="17331" y="154967"/>
                  <a:pt x="17331" y="173504"/>
                </a:cubicBezTo>
                <a:cubicBezTo>
                  <a:pt x="17331" y="190961"/>
                  <a:pt x="20948" y="199689"/>
                  <a:pt x="28183" y="199689"/>
                </a:cubicBezTo>
                <a:cubicBezTo>
                  <a:pt x="35238" y="199689"/>
                  <a:pt x="38765" y="190691"/>
                  <a:pt x="38765" y="172694"/>
                </a:cubicBezTo>
                <a:cubicBezTo>
                  <a:pt x="38765" y="154697"/>
                  <a:pt x="35309" y="145698"/>
                  <a:pt x="28399" y="145698"/>
                </a:cubicBezTo>
                <a:close/>
                <a:moveTo>
                  <a:pt x="219893" y="132687"/>
                </a:moveTo>
                <a:cubicBezTo>
                  <a:pt x="237890" y="132687"/>
                  <a:pt x="246888" y="145842"/>
                  <a:pt x="246888" y="172154"/>
                </a:cubicBezTo>
                <a:cubicBezTo>
                  <a:pt x="246888" y="185256"/>
                  <a:pt x="244432" y="195298"/>
                  <a:pt x="239519" y="202281"/>
                </a:cubicBezTo>
                <a:cubicBezTo>
                  <a:pt x="234605" y="209263"/>
                  <a:pt x="227560" y="212755"/>
                  <a:pt x="218381" y="212755"/>
                </a:cubicBezTo>
                <a:cubicBezTo>
                  <a:pt x="199953" y="212755"/>
                  <a:pt x="190738" y="199815"/>
                  <a:pt x="190738" y="173935"/>
                </a:cubicBezTo>
                <a:cubicBezTo>
                  <a:pt x="190738" y="160510"/>
                  <a:pt x="193231" y="150279"/>
                  <a:pt x="198216" y="143242"/>
                </a:cubicBezTo>
                <a:cubicBezTo>
                  <a:pt x="203201" y="136205"/>
                  <a:pt x="210427" y="132687"/>
                  <a:pt x="219893" y="132687"/>
                </a:cubicBezTo>
                <a:close/>
                <a:moveTo>
                  <a:pt x="165600" y="132687"/>
                </a:moveTo>
                <a:lnTo>
                  <a:pt x="165600" y="197907"/>
                </a:lnTo>
                <a:lnTo>
                  <a:pt x="181527" y="197907"/>
                </a:lnTo>
                <a:lnTo>
                  <a:pt x="181527" y="211405"/>
                </a:lnTo>
                <a:lnTo>
                  <a:pt x="132558" y="211405"/>
                </a:lnTo>
                <a:lnTo>
                  <a:pt x="132558" y="197907"/>
                </a:lnTo>
                <a:lnTo>
                  <a:pt x="148593" y="197907"/>
                </a:lnTo>
                <a:lnTo>
                  <a:pt x="148593" y="149694"/>
                </a:lnTo>
                <a:lnTo>
                  <a:pt x="132126" y="153257"/>
                </a:lnTo>
                <a:lnTo>
                  <a:pt x="132126" y="139435"/>
                </a:lnTo>
                <a:close/>
                <a:moveTo>
                  <a:pt x="102021" y="132687"/>
                </a:moveTo>
                <a:lnTo>
                  <a:pt x="102021" y="197907"/>
                </a:lnTo>
                <a:lnTo>
                  <a:pt x="117948" y="197907"/>
                </a:lnTo>
                <a:lnTo>
                  <a:pt x="117948" y="211405"/>
                </a:lnTo>
                <a:lnTo>
                  <a:pt x="68979" y="211405"/>
                </a:lnTo>
                <a:lnTo>
                  <a:pt x="68979" y="197907"/>
                </a:lnTo>
                <a:lnTo>
                  <a:pt x="85014" y="197907"/>
                </a:lnTo>
                <a:lnTo>
                  <a:pt x="85014" y="149694"/>
                </a:lnTo>
                <a:lnTo>
                  <a:pt x="68547" y="153257"/>
                </a:lnTo>
                <a:lnTo>
                  <a:pt x="68547" y="139435"/>
                </a:lnTo>
                <a:close/>
                <a:moveTo>
                  <a:pt x="29155" y="132687"/>
                </a:moveTo>
                <a:cubicBezTo>
                  <a:pt x="47151" y="132687"/>
                  <a:pt x="56150" y="145842"/>
                  <a:pt x="56150" y="172154"/>
                </a:cubicBezTo>
                <a:cubicBezTo>
                  <a:pt x="56150" y="185256"/>
                  <a:pt x="53693" y="195298"/>
                  <a:pt x="48780" y="202281"/>
                </a:cubicBezTo>
                <a:cubicBezTo>
                  <a:pt x="43867" y="209263"/>
                  <a:pt x="36821" y="212755"/>
                  <a:pt x="27643" y="212755"/>
                </a:cubicBezTo>
                <a:cubicBezTo>
                  <a:pt x="9214" y="212755"/>
                  <a:pt x="0" y="199815"/>
                  <a:pt x="0" y="173935"/>
                </a:cubicBezTo>
                <a:cubicBezTo>
                  <a:pt x="0" y="160510"/>
                  <a:pt x="2492" y="150279"/>
                  <a:pt x="7477" y="143242"/>
                </a:cubicBezTo>
                <a:cubicBezTo>
                  <a:pt x="12463" y="136205"/>
                  <a:pt x="19688" y="132687"/>
                  <a:pt x="29155" y="132687"/>
                </a:cubicBezTo>
                <a:close/>
                <a:moveTo>
                  <a:pt x="28399" y="13011"/>
                </a:moveTo>
                <a:cubicBezTo>
                  <a:pt x="21020" y="13011"/>
                  <a:pt x="17331" y="22280"/>
                  <a:pt x="17331" y="40817"/>
                </a:cubicBezTo>
                <a:cubicBezTo>
                  <a:pt x="17331" y="58274"/>
                  <a:pt x="20948" y="67002"/>
                  <a:pt x="28183" y="67002"/>
                </a:cubicBezTo>
                <a:cubicBezTo>
                  <a:pt x="35238" y="67002"/>
                  <a:pt x="38765" y="58004"/>
                  <a:pt x="38765" y="40007"/>
                </a:cubicBezTo>
                <a:cubicBezTo>
                  <a:pt x="38765" y="22010"/>
                  <a:pt x="35309" y="13011"/>
                  <a:pt x="28399" y="13011"/>
                </a:cubicBezTo>
                <a:close/>
                <a:moveTo>
                  <a:pt x="102021" y="0"/>
                </a:moveTo>
                <a:lnTo>
                  <a:pt x="102021" y="65220"/>
                </a:lnTo>
                <a:lnTo>
                  <a:pt x="117948" y="65220"/>
                </a:lnTo>
                <a:lnTo>
                  <a:pt x="117948" y="78718"/>
                </a:lnTo>
                <a:lnTo>
                  <a:pt x="68979" y="78718"/>
                </a:lnTo>
                <a:lnTo>
                  <a:pt x="68979" y="65220"/>
                </a:lnTo>
                <a:lnTo>
                  <a:pt x="85014" y="65220"/>
                </a:lnTo>
                <a:lnTo>
                  <a:pt x="85014" y="17007"/>
                </a:lnTo>
                <a:lnTo>
                  <a:pt x="68547" y="20570"/>
                </a:lnTo>
                <a:lnTo>
                  <a:pt x="68547" y="6748"/>
                </a:lnTo>
                <a:close/>
                <a:moveTo>
                  <a:pt x="29155" y="0"/>
                </a:moveTo>
                <a:cubicBezTo>
                  <a:pt x="47151" y="0"/>
                  <a:pt x="56150" y="13155"/>
                  <a:pt x="56150" y="39467"/>
                </a:cubicBezTo>
                <a:cubicBezTo>
                  <a:pt x="56150" y="52569"/>
                  <a:pt x="53693" y="62611"/>
                  <a:pt x="48780" y="69594"/>
                </a:cubicBezTo>
                <a:cubicBezTo>
                  <a:pt x="43867" y="76576"/>
                  <a:pt x="36821" y="80068"/>
                  <a:pt x="27643" y="80068"/>
                </a:cubicBezTo>
                <a:cubicBezTo>
                  <a:pt x="9214" y="80068"/>
                  <a:pt x="0" y="67128"/>
                  <a:pt x="0" y="41248"/>
                </a:cubicBezTo>
                <a:cubicBezTo>
                  <a:pt x="0" y="27823"/>
                  <a:pt x="2492" y="17592"/>
                  <a:pt x="7477" y="10555"/>
                </a:cubicBezTo>
                <a:cubicBezTo>
                  <a:pt x="12463" y="3518"/>
                  <a:pt x="19688" y="0"/>
                  <a:pt x="29155"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8" name="Полилиния 207">
            <a:extLst>
              <a:ext uri="{FF2B5EF4-FFF2-40B4-BE49-F238E27FC236}">
                <a16:creationId xmlns:a16="http://schemas.microsoft.com/office/drawing/2014/main" id="{526AB528-5685-4C75-93D1-5AF5DD48BBEF}"/>
              </a:ext>
            </a:extLst>
          </xdr:cNvPr>
          <xdr:cNvSpPr/>
        </xdr:nvSpPr>
        <xdr:spPr>
          <a:xfrm>
            <a:off x="7453766" y="5905642"/>
            <a:ext cx="49401" cy="78718"/>
          </a:xfrm>
          <a:custGeom>
            <a:avLst/>
            <a:gdLst>
              <a:gd name="connsiteX0" fmla="*/ 230683 w 340444"/>
              <a:gd name="connsiteY0" fmla="*/ 0 h 542479"/>
              <a:gd name="connsiteX1" fmla="*/ 230683 w 340444"/>
              <a:gd name="connsiteY1" fmla="*/ 449461 h 542479"/>
              <a:gd name="connsiteX2" fmla="*/ 340444 w 340444"/>
              <a:gd name="connsiteY2" fmla="*/ 449461 h 542479"/>
              <a:gd name="connsiteX3" fmla="*/ 340444 w 340444"/>
              <a:gd name="connsiteY3" fmla="*/ 542479 h 542479"/>
              <a:gd name="connsiteX4" fmla="*/ 2976 w 340444"/>
              <a:gd name="connsiteY4" fmla="*/ 542479 h 542479"/>
              <a:gd name="connsiteX5" fmla="*/ 2976 w 340444"/>
              <a:gd name="connsiteY5" fmla="*/ 449461 h 542479"/>
              <a:gd name="connsiteX6" fmla="*/ 113481 w 340444"/>
              <a:gd name="connsiteY6" fmla="*/ 449461 h 542479"/>
              <a:gd name="connsiteX7" fmla="*/ 113481 w 340444"/>
              <a:gd name="connsiteY7" fmla="*/ 117203 h 542479"/>
              <a:gd name="connsiteX8" fmla="*/ 0 w 340444"/>
              <a:gd name="connsiteY8" fmla="*/ 141759 h 542479"/>
              <a:gd name="connsiteX9" fmla="*/ 0 w 340444"/>
              <a:gd name="connsiteY9" fmla="*/ 46509 h 542479"/>
              <a:gd name="connsiteX10" fmla="*/ 230683 w 340444"/>
              <a:gd name="connsiteY10" fmla="*/ 0 h 5424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340444" h="542479">
                <a:moveTo>
                  <a:pt x="230683" y="0"/>
                </a:moveTo>
                <a:lnTo>
                  <a:pt x="230683" y="449461"/>
                </a:lnTo>
                <a:lnTo>
                  <a:pt x="340444" y="449461"/>
                </a:lnTo>
                <a:lnTo>
                  <a:pt x="340444" y="542479"/>
                </a:lnTo>
                <a:lnTo>
                  <a:pt x="2976" y="542479"/>
                </a:lnTo>
                <a:lnTo>
                  <a:pt x="2976" y="449461"/>
                </a:lnTo>
                <a:lnTo>
                  <a:pt x="113481" y="449461"/>
                </a:lnTo>
                <a:lnTo>
                  <a:pt x="113481" y="117203"/>
                </a:lnTo>
                <a:lnTo>
                  <a:pt x="0" y="141759"/>
                </a:lnTo>
                <a:lnTo>
                  <a:pt x="0" y="46509"/>
                </a:lnTo>
                <a:lnTo>
                  <a:pt x="230683" y="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9" name="Полилиния 208">
            <a:extLst>
              <a:ext uri="{FF2B5EF4-FFF2-40B4-BE49-F238E27FC236}">
                <a16:creationId xmlns:a16="http://schemas.microsoft.com/office/drawing/2014/main" id="{BE92B3E4-A55D-410F-8947-B3DC5B480C91}"/>
              </a:ext>
            </a:extLst>
          </xdr:cNvPr>
          <xdr:cNvSpPr/>
        </xdr:nvSpPr>
        <xdr:spPr>
          <a:xfrm>
            <a:off x="7194469" y="5115484"/>
            <a:ext cx="682633" cy="366164"/>
          </a:xfrm>
          <a:custGeom>
            <a:avLst/>
            <a:gdLst>
              <a:gd name="connsiteX0" fmla="*/ 0 w 4704301"/>
              <a:gd name="connsiteY0" fmla="*/ 0 h 2523387"/>
              <a:gd name="connsiteX1" fmla="*/ 4704301 w 4704301"/>
              <a:gd name="connsiteY1" fmla="*/ 0 h 2523387"/>
              <a:gd name="connsiteX2" fmla="*/ 4704301 w 4704301"/>
              <a:gd name="connsiteY2" fmla="*/ 2523387 h 2523387"/>
              <a:gd name="connsiteX3" fmla="*/ 4275629 w 4704301"/>
              <a:gd name="connsiteY3" fmla="*/ 2523387 h 2523387"/>
              <a:gd name="connsiteX4" fmla="*/ 4275629 w 4704301"/>
              <a:gd name="connsiteY4" fmla="*/ 410955 h 2523387"/>
              <a:gd name="connsiteX5" fmla="*/ 428671 w 4704301"/>
              <a:gd name="connsiteY5" fmla="*/ 410955 h 2523387"/>
              <a:gd name="connsiteX6" fmla="*/ 428671 w 4704301"/>
              <a:gd name="connsiteY6" fmla="*/ 1296780 h 2523387"/>
              <a:gd name="connsiteX7" fmla="*/ 0 w 4704301"/>
              <a:gd name="connsiteY7" fmla="*/ 1296780 h 25233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704301" h="2523387">
                <a:moveTo>
                  <a:pt x="0" y="0"/>
                </a:moveTo>
                <a:lnTo>
                  <a:pt x="4704301" y="0"/>
                </a:lnTo>
                <a:lnTo>
                  <a:pt x="4704301" y="2523387"/>
                </a:lnTo>
                <a:lnTo>
                  <a:pt x="4275629" y="2523387"/>
                </a:lnTo>
                <a:lnTo>
                  <a:pt x="4275629" y="410955"/>
                </a:lnTo>
                <a:lnTo>
                  <a:pt x="428671" y="410955"/>
                </a:lnTo>
                <a:lnTo>
                  <a:pt x="428671" y="1296780"/>
                </a:lnTo>
                <a:lnTo>
                  <a:pt x="0" y="129678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10" name="Группа 209">
            <a:extLst>
              <a:ext uri="{FF2B5EF4-FFF2-40B4-BE49-F238E27FC236}">
                <a16:creationId xmlns:a16="http://schemas.microsoft.com/office/drawing/2014/main" id="{530EE16C-5B70-4274-B75E-63422007E12C}"/>
              </a:ext>
            </a:extLst>
          </xdr:cNvPr>
          <xdr:cNvGrpSpPr/>
        </xdr:nvGrpSpPr>
        <xdr:grpSpPr>
          <a:xfrm>
            <a:off x="7347735" y="5235474"/>
            <a:ext cx="423631" cy="160046"/>
            <a:chOff x="3152775" y="1377956"/>
            <a:chExt cx="2919413" cy="1102936"/>
          </a:xfrm>
          <a:grpFill/>
        </xdr:grpSpPr>
        <xdr:sp macro="" textlink="">
          <xdr:nvSpPr>
            <xdr:cNvPr id="211" name="Скругленный прямоугольник 210">
              <a:extLst>
                <a:ext uri="{FF2B5EF4-FFF2-40B4-BE49-F238E27FC236}">
                  <a16:creationId xmlns:a16="http://schemas.microsoft.com/office/drawing/2014/main" id="{20F59BC1-9CAA-4C50-9CF8-CD4AD49984E6}"/>
                </a:ext>
              </a:extLst>
            </xdr:cNvPr>
            <xdr:cNvSpPr/>
          </xdr:nvSpPr>
          <xdr:spPr>
            <a:xfrm>
              <a:off x="3152775" y="1377956"/>
              <a:ext cx="2919413"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2" name="Скругленный прямоугольник 211">
              <a:extLst>
                <a:ext uri="{FF2B5EF4-FFF2-40B4-BE49-F238E27FC236}">
                  <a16:creationId xmlns:a16="http://schemas.microsoft.com/office/drawing/2014/main" id="{FDCB51B9-90CB-4D6E-AB79-3FF5101A6663}"/>
                </a:ext>
              </a:extLst>
            </xdr:cNvPr>
            <xdr:cNvSpPr/>
          </xdr:nvSpPr>
          <xdr:spPr>
            <a:xfrm>
              <a:off x="4496631" y="2155737"/>
              <a:ext cx="1575557"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6</xdr:col>
      <xdr:colOff>454300</xdr:colOff>
      <xdr:row>60</xdr:row>
      <xdr:rowOff>89171</xdr:rowOff>
    </xdr:from>
    <xdr:to>
      <xdr:col>7</xdr:col>
      <xdr:colOff>414195</xdr:colOff>
      <xdr:row>63</xdr:row>
      <xdr:rowOff>107913</xdr:rowOff>
    </xdr:to>
    <xdr:grpSp>
      <xdr:nvGrpSpPr>
        <xdr:cNvPr id="173" name="Группа 172">
          <a:extLst>
            <a:ext uri="{FF2B5EF4-FFF2-40B4-BE49-F238E27FC236}">
              <a16:creationId xmlns:a16="http://schemas.microsoft.com/office/drawing/2014/main" id="{734490EC-1512-49BA-B505-F5742BC4E642}"/>
            </a:ext>
          </a:extLst>
        </xdr:cNvPr>
        <xdr:cNvGrpSpPr>
          <a:grpSpLocks noChangeAspect="1"/>
        </xdr:cNvGrpSpPr>
      </xdr:nvGrpSpPr>
      <xdr:grpSpPr>
        <a:xfrm>
          <a:off x="4085006" y="11844142"/>
          <a:ext cx="565013" cy="590242"/>
          <a:chOff x="-1361378" y="658496"/>
          <a:chExt cx="1173998" cy="1169644"/>
        </a:xfrm>
      </xdr:grpSpPr>
      <xdr:sp macro="" textlink="">
        <xdr:nvSpPr>
          <xdr:cNvPr id="191" name="Полилиния: фигура 68">
            <a:extLst>
              <a:ext uri="{FF2B5EF4-FFF2-40B4-BE49-F238E27FC236}">
                <a16:creationId xmlns:a16="http://schemas.microsoft.com/office/drawing/2014/main" id="{247A9513-483B-48BB-AB69-1AF1421BEC77}"/>
              </a:ext>
            </a:extLst>
          </xdr:cNvPr>
          <xdr:cNvSpPr/>
        </xdr:nvSpPr>
        <xdr:spPr>
          <a:xfrm rot="5400000" flipV="1">
            <a:off x="-1359201" y="656319"/>
            <a:ext cx="1169644" cy="1173998"/>
          </a:xfrm>
          <a:custGeom>
            <a:avLst/>
            <a:gdLst>
              <a:gd name="connsiteX0" fmla="*/ 205650 w 3912688"/>
              <a:gd name="connsiteY0" fmla="*/ 1768048 h 3927255"/>
              <a:gd name="connsiteX1" fmla="*/ 426783 w 3912688"/>
              <a:gd name="connsiteY1" fmla="*/ 1768048 h 3927255"/>
              <a:gd name="connsiteX2" fmla="*/ 431280 w 3912688"/>
              <a:gd name="connsiteY2" fmla="*/ 1728669 h 3927255"/>
              <a:gd name="connsiteX3" fmla="*/ 676996 w 3912688"/>
              <a:gd name="connsiteY3" fmla="*/ 1101011 h 3927255"/>
              <a:gd name="connsiteX4" fmla="*/ 740306 w 3912688"/>
              <a:gd name="connsiteY4" fmla="*/ 1016348 h 3927255"/>
              <a:gd name="connsiteX5" fmla="*/ 600055 w 3912688"/>
              <a:gd name="connsiteY5" fmla="*/ 876097 h 3927255"/>
              <a:gd name="connsiteX6" fmla="*/ 876647 w 3912688"/>
              <a:gd name="connsiteY6" fmla="*/ 599505 h 3927255"/>
              <a:gd name="connsiteX7" fmla="*/ 1018028 w 3912688"/>
              <a:gd name="connsiteY7" fmla="*/ 740887 h 3927255"/>
              <a:gd name="connsiteX8" fmla="*/ 1093727 w 3912688"/>
              <a:gd name="connsiteY8" fmla="*/ 684280 h 3927255"/>
              <a:gd name="connsiteX9" fmla="*/ 1721384 w 3912688"/>
              <a:gd name="connsiteY9" fmla="*/ 438564 h 3927255"/>
              <a:gd name="connsiteX10" fmla="*/ 1761169 w 3912688"/>
              <a:gd name="connsiteY10" fmla="*/ 434020 h 3927255"/>
              <a:gd name="connsiteX11" fmla="*/ 1761169 w 3912688"/>
              <a:gd name="connsiteY11" fmla="*/ 237372 h 3927255"/>
              <a:gd name="connsiteX12" fmla="*/ 2152329 w 3912688"/>
              <a:gd name="connsiteY12" fmla="*/ 237372 h 3927255"/>
              <a:gd name="connsiteX13" fmla="*/ 2152329 w 3912688"/>
              <a:gd name="connsiteY13" fmla="*/ 434200 h 3927255"/>
              <a:gd name="connsiteX14" fmla="*/ 2196088 w 3912688"/>
              <a:gd name="connsiteY14" fmla="*/ 439303 h 3927255"/>
              <a:gd name="connsiteX15" fmla="*/ 2834284 w 3912688"/>
              <a:gd name="connsiteY15" fmla="*/ 694767 h 3927255"/>
              <a:gd name="connsiteX16" fmla="*/ 2905278 w 3912688"/>
              <a:gd name="connsiteY16" fmla="*/ 748522 h 3927255"/>
              <a:gd name="connsiteX17" fmla="*/ 3059375 w 3912688"/>
              <a:gd name="connsiteY17" fmla="*/ 594425 h 3927255"/>
              <a:gd name="connsiteX18" fmla="*/ 3335966 w 3912688"/>
              <a:gd name="connsiteY18" fmla="*/ 871017 h 3927255"/>
              <a:gd name="connsiteX19" fmla="*/ 3180588 w 3912688"/>
              <a:gd name="connsiteY19" fmla="*/ 1026395 h 3927255"/>
              <a:gd name="connsiteX20" fmla="*/ 3203695 w 3912688"/>
              <a:gd name="connsiteY20" fmla="*/ 1055441 h 3927255"/>
              <a:gd name="connsiteX21" fmla="*/ 3467840 w 3912688"/>
              <a:gd name="connsiteY21" fmla="*/ 1652692 h 3927255"/>
              <a:gd name="connsiteX22" fmla="*/ 3485445 w 3912688"/>
              <a:gd name="connsiteY22" fmla="*/ 1768048 h 3927255"/>
              <a:gd name="connsiteX23" fmla="*/ 3705716 w 3912688"/>
              <a:gd name="connsiteY23" fmla="*/ 1768047 h 3927255"/>
              <a:gd name="connsiteX24" fmla="*/ 3705716 w 3912688"/>
              <a:gd name="connsiteY24" fmla="*/ 2159208 h 3927255"/>
              <a:gd name="connsiteX25" fmla="*/ 3485819 w 3912688"/>
              <a:gd name="connsiteY25" fmla="*/ 2159208 h 3927255"/>
              <a:gd name="connsiteX26" fmla="*/ 3480669 w 3912688"/>
              <a:gd name="connsiteY26" fmla="*/ 2203374 h 3927255"/>
              <a:gd name="connsiteX27" fmla="*/ 3225205 w 3912688"/>
              <a:gd name="connsiteY27" fmla="*/ 2841569 h 3927255"/>
              <a:gd name="connsiteX28" fmla="*/ 3188915 w 3912688"/>
              <a:gd name="connsiteY28" fmla="*/ 2889497 h 3927255"/>
              <a:gd name="connsiteX29" fmla="*/ 3354168 w 3912688"/>
              <a:gd name="connsiteY29" fmla="*/ 3054749 h 3927255"/>
              <a:gd name="connsiteX30" fmla="*/ 3077576 w 3912688"/>
              <a:gd name="connsiteY30" fmla="*/ 3331341 h 3927255"/>
              <a:gd name="connsiteX31" fmla="*/ 2916150 w 3912688"/>
              <a:gd name="connsiteY31" fmla="*/ 3169916 h 3927255"/>
              <a:gd name="connsiteX32" fmla="*/ 2864531 w 3912688"/>
              <a:gd name="connsiteY32" fmla="*/ 3210980 h 3927255"/>
              <a:gd name="connsiteX33" fmla="*/ 2267281 w 3912688"/>
              <a:gd name="connsiteY33" fmla="*/ 3475124 h 3927255"/>
              <a:gd name="connsiteX34" fmla="*/ 2152329 w 3912688"/>
              <a:gd name="connsiteY34" fmla="*/ 3492668 h 3927255"/>
              <a:gd name="connsiteX35" fmla="*/ 2152329 w 3912688"/>
              <a:gd name="connsiteY35" fmla="*/ 3679727 h 3927255"/>
              <a:gd name="connsiteX36" fmla="*/ 1761169 w 3912688"/>
              <a:gd name="connsiteY36" fmla="*/ 3679727 h 3927255"/>
              <a:gd name="connsiteX37" fmla="*/ 1761169 w 3912688"/>
              <a:gd name="connsiteY37" fmla="*/ 3493151 h 3927255"/>
              <a:gd name="connsiteX38" fmla="*/ 1716599 w 3912688"/>
              <a:gd name="connsiteY38" fmla="*/ 3487953 h 3927255"/>
              <a:gd name="connsiteX39" fmla="*/ 1078403 w 3912688"/>
              <a:gd name="connsiteY39" fmla="*/ 3232489 h 3927255"/>
              <a:gd name="connsiteX40" fmla="*/ 1008955 w 3912688"/>
              <a:gd name="connsiteY40" fmla="*/ 3179904 h 3927255"/>
              <a:gd name="connsiteX41" fmla="*/ 867678 w 3912688"/>
              <a:gd name="connsiteY41" fmla="*/ 3321181 h 3927255"/>
              <a:gd name="connsiteX42" fmla="*/ 591086 w 3912688"/>
              <a:gd name="connsiteY42" fmla="*/ 3044589 h 3927255"/>
              <a:gd name="connsiteX43" fmla="*/ 733302 w 3912688"/>
              <a:gd name="connsiteY43" fmla="*/ 2902373 h 3927255"/>
              <a:gd name="connsiteX44" fmla="*/ 708992 w 3912688"/>
              <a:gd name="connsiteY44" fmla="*/ 2871816 h 3927255"/>
              <a:gd name="connsiteX45" fmla="*/ 444848 w 3912688"/>
              <a:gd name="connsiteY45" fmla="*/ 2274565 h 3927255"/>
              <a:gd name="connsiteX46" fmla="*/ 427243 w 3912688"/>
              <a:gd name="connsiteY46" fmla="*/ 2159208 h 3927255"/>
              <a:gd name="connsiteX47" fmla="*/ 205650 w 3912688"/>
              <a:gd name="connsiteY47" fmla="*/ 2159208 h 3927255"/>
              <a:gd name="connsiteX48" fmla="*/ 0 w 3912688"/>
              <a:gd name="connsiteY48" fmla="*/ 1657355 h 3927255"/>
              <a:gd name="connsiteX49" fmla="*/ 0 w 3912688"/>
              <a:gd name="connsiteY49" fmla="*/ 2259336 h 3927255"/>
              <a:gd name="connsiteX50" fmla="*/ 182019 w 3912688"/>
              <a:gd name="connsiteY50" fmla="*/ 2441355 h 3927255"/>
              <a:gd name="connsiteX51" fmla="*/ 288446 w 3912688"/>
              <a:gd name="connsiteY51" fmla="*/ 2441355 h 3927255"/>
              <a:gd name="connsiteX52" fmla="*/ 297092 w 3912688"/>
              <a:gd name="connsiteY52" fmla="*/ 2474982 h 3927255"/>
              <a:gd name="connsiteX53" fmla="*/ 428674 w 3912688"/>
              <a:gd name="connsiteY53" fmla="*/ 2786474 h 3927255"/>
              <a:gd name="connsiteX54" fmla="*/ 438202 w 3912688"/>
              <a:gd name="connsiteY54" fmla="*/ 2802155 h 3927255"/>
              <a:gd name="connsiteX55" fmla="*/ 356981 w 3912688"/>
              <a:gd name="connsiteY55" fmla="*/ 2883377 h 3927255"/>
              <a:gd name="connsiteX56" fmla="*/ 300472 w 3912688"/>
              <a:gd name="connsiteY56" fmla="*/ 3019797 h 3927255"/>
              <a:gd name="connsiteX57" fmla="*/ 356981 w 3912688"/>
              <a:gd name="connsiteY57" fmla="*/ 3156217 h 3927255"/>
              <a:gd name="connsiteX58" fmla="*/ 767218 w 3912688"/>
              <a:gd name="connsiteY58" fmla="*/ 3566456 h 3927255"/>
              <a:gd name="connsiteX59" fmla="*/ 1040058 w 3912688"/>
              <a:gd name="connsiteY59" fmla="*/ 3566456 h 3927255"/>
              <a:gd name="connsiteX60" fmla="*/ 1123416 w 3912688"/>
              <a:gd name="connsiteY60" fmla="*/ 3483099 h 3927255"/>
              <a:gd name="connsiteX61" fmla="*/ 1128215 w 3912688"/>
              <a:gd name="connsiteY61" fmla="*/ 3486015 h 3927255"/>
              <a:gd name="connsiteX62" fmla="*/ 1439708 w 3912688"/>
              <a:gd name="connsiteY62" fmla="*/ 3617597 h 3927255"/>
              <a:gd name="connsiteX63" fmla="*/ 1487038 w 3912688"/>
              <a:gd name="connsiteY63" fmla="*/ 3629767 h 3927255"/>
              <a:gd name="connsiteX64" fmla="*/ 1487038 w 3912688"/>
              <a:gd name="connsiteY64" fmla="*/ 3730248 h 3927255"/>
              <a:gd name="connsiteX65" fmla="*/ 1684045 w 3912688"/>
              <a:gd name="connsiteY65" fmla="*/ 3927255 h 3927255"/>
              <a:gd name="connsiteX66" fmla="*/ 2256049 w 3912688"/>
              <a:gd name="connsiteY66" fmla="*/ 3927255 h 3927255"/>
              <a:gd name="connsiteX67" fmla="*/ 2453056 w 3912688"/>
              <a:gd name="connsiteY67" fmla="*/ 3730248 h 3927255"/>
              <a:gd name="connsiteX68" fmla="*/ 2453056 w 3912688"/>
              <a:gd name="connsiteY68" fmla="*/ 3622720 h 3927255"/>
              <a:gd name="connsiteX69" fmla="*/ 2472982 w 3912688"/>
              <a:gd name="connsiteY69" fmla="*/ 3617597 h 3927255"/>
              <a:gd name="connsiteX70" fmla="*/ 2784473 w 3912688"/>
              <a:gd name="connsiteY70" fmla="*/ 3486015 h 3927255"/>
              <a:gd name="connsiteX71" fmla="*/ 2806322 w 3912688"/>
              <a:gd name="connsiteY71" fmla="*/ 3472742 h 3927255"/>
              <a:gd name="connsiteX72" fmla="*/ 2900036 w 3912688"/>
              <a:gd name="connsiteY72" fmla="*/ 3566456 h 3927255"/>
              <a:gd name="connsiteX73" fmla="*/ 3172876 w 3912688"/>
              <a:gd name="connsiteY73" fmla="*/ 3566456 h 3927255"/>
              <a:gd name="connsiteX74" fmla="*/ 3583115 w 3912688"/>
              <a:gd name="connsiteY74" fmla="*/ 3156217 h 3927255"/>
              <a:gd name="connsiteX75" fmla="*/ 3583115 w 3912688"/>
              <a:gd name="connsiteY75" fmla="*/ 2883377 h 3927255"/>
              <a:gd name="connsiteX76" fmla="*/ 3484728 w 3912688"/>
              <a:gd name="connsiteY76" fmla="*/ 2784991 h 3927255"/>
              <a:gd name="connsiteX77" fmla="*/ 3557174 w 3912688"/>
              <a:gd name="connsiteY77" fmla="*/ 2634603 h 3927255"/>
              <a:gd name="connsiteX78" fmla="*/ 3615596 w 3912688"/>
              <a:gd name="connsiteY78" fmla="*/ 2474982 h 3927255"/>
              <a:gd name="connsiteX79" fmla="*/ 3622705 w 3912688"/>
              <a:gd name="connsiteY79" fmla="*/ 2447335 h 3927255"/>
              <a:gd name="connsiteX80" fmla="*/ 3729616 w 3912688"/>
              <a:gd name="connsiteY80" fmla="*/ 2447335 h 3927255"/>
              <a:gd name="connsiteX81" fmla="*/ 3912688 w 3912688"/>
              <a:gd name="connsiteY81" fmla="*/ 2264263 h 3927255"/>
              <a:gd name="connsiteX82" fmla="*/ 3912688 w 3912688"/>
              <a:gd name="connsiteY82" fmla="*/ 1664388 h 3927255"/>
              <a:gd name="connsiteX83" fmla="*/ 3729616 w 3912688"/>
              <a:gd name="connsiteY83" fmla="*/ 1481316 h 3927255"/>
              <a:gd name="connsiteX84" fmla="*/ 3625780 w 3912688"/>
              <a:gd name="connsiteY84" fmla="*/ 1481316 h 3927255"/>
              <a:gd name="connsiteX85" fmla="*/ 3615596 w 3912688"/>
              <a:gd name="connsiteY85" fmla="*/ 1441707 h 3927255"/>
              <a:gd name="connsiteX86" fmla="*/ 3557173 w 3912688"/>
              <a:gd name="connsiteY86" fmla="*/ 1282086 h 3927255"/>
              <a:gd name="connsiteX87" fmla="*/ 3486275 w 3912688"/>
              <a:gd name="connsiteY87" fmla="*/ 1134910 h 3927255"/>
              <a:gd name="connsiteX88" fmla="*/ 3583115 w 3912688"/>
              <a:gd name="connsiteY88" fmla="*/ 1038071 h 3927255"/>
              <a:gd name="connsiteX89" fmla="*/ 3583115 w 3912688"/>
              <a:gd name="connsiteY89" fmla="*/ 765231 h 3927255"/>
              <a:gd name="connsiteX90" fmla="*/ 3172876 w 3912688"/>
              <a:gd name="connsiteY90" fmla="*/ 354992 h 3927255"/>
              <a:gd name="connsiteX91" fmla="*/ 2900036 w 3912688"/>
              <a:gd name="connsiteY91" fmla="*/ 354992 h 3927255"/>
              <a:gd name="connsiteX92" fmla="*/ 2809282 w 3912688"/>
              <a:gd name="connsiteY92" fmla="*/ 445747 h 3927255"/>
              <a:gd name="connsiteX93" fmla="*/ 2784473 w 3912688"/>
              <a:gd name="connsiteY93" fmla="*/ 430675 h 3927255"/>
              <a:gd name="connsiteX94" fmla="*/ 2472981 w 3912688"/>
              <a:gd name="connsiteY94" fmla="*/ 299093 h 3927255"/>
              <a:gd name="connsiteX95" fmla="*/ 2453056 w 3912688"/>
              <a:gd name="connsiteY95" fmla="*/ 293970 h 3927255"/>
              <a:gd name="connsiteX96" fmla="*/ 2453056 w 3912688"/>
              <a:gd name="connsiteY96" fmla="*/ 197007 h 3927255"/>
              <a:gd name="connsiteX97" fmla="*/ 2256049 w 3912688"/>
              <a:gd name="connsiteY97" fmla="*/ 0 h 3927255"/>
              <a:gd name="connsiteX98" fmla="*/ 1684045 w 3912688"/>
              <a:gd name="connsiteY98" fmla="*/ 0 h 3927255"/>
              <a:gd name="connsiteX99" fmla="*/ 1487038 w 3912688"/>
              <a:gd name="connsiteY99" fmla="*/ 197007 h 3927255"/>
              <a:gd name="connsiteX100" fmla="*/ 1487038 w 3912688"/>
              <a:gd name="connsiteY100" fmla="*/ 286923 h 3927255"/>
              <a:gd name="connsiteX101" fmla="*/ 1439707 w 3912688"/>
              <a:gd name="connsiteY101" fmla="*/ 299093 h 3927255"/>
              <a:gd name="connsiteX102" fmla="*/ 1128215 w 3912688"/>
              <a:gd name="connsiteY102" fmla="*/ 430675 h 3927255"/>
              <a:gd name="connsiteX103" fmla="*/ 1114538 w 3912688"/>
              <a:gd name="connsiteY103" fmla="*/ 438985 h 3927255"/>
              <a:gd name="connsiteX104" fmla="*/ 1030544 w 3912688"/>
              <a:gd name="connsiteY104" fmla="*/ 354992 h 3927255"/>
              <a:gd name="connsiteX105" fmla="*/ 757704 w 3912688"/>
              <a:gd name="connsiteY105" fmla="*/ 354992 h 3927255"/>
              <a:gd name="connsiteX106" fmla="*/ 347466 w 3912688"/>
              <a:gd name="connsiteY106" fmla="*/ 765231 h 3927255"/>
              <a:gd name="connsiteX107" fmla="*/ 290958 w 3912688"/>
              <a:gd name="connsiteY107" fmla="*/ 901651 h 3927255"/>
              <a:gd name="connsiteX108" fmla="*/ 347466 w 3912688"/>
              <a:gd name="connsiteY108" fmla="*/ 1038071 h 3927255"/>
              <a:gd name="connsiteX109" fmla="*/ 432807 w 3912688"/>
              <a:gd name="connsiteY109" fmla="*/ 1123413 h 3927255"/>
              <a:gd name="connsiteX110" fmla="*/ 428674 w 3912688"/>
              <a:gd name="connsiteY110" fmla="*/ 1130216 h 3927255"/>
              <a:gd name="connsiteX111" fmla="*/ 297092 w 3912688"/>
              <a:gd name="connsiteY111" fmla="*/ 1441707 h 3927255"/>
              <a:gd name="connsiteX112" fmla="*/ 288446 w 3912688"/>
              <a:gd name="connsiteY112" fmla="*/ 1475336 h 3927255"/>
              <a:gd name="connsiteX113" fmla="*/ 182019 w 3912688"/>
              <a:gd name="connsiteY113" fmla="*/ 1475336 h 3927255"/>
              <a:gd name="connsiteX114" fmla="*/ 0 w 3912688"/>
              <a:gd name="connsiteY114" fmla="*/ 1657355 h 39272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3912688" h="3927255">
                <a:moveTo>
                  <a:pt x="205650" y="1768048"/>
                </a:moveTo>
                <a:lnTo>
                  <a:pt x="426783" y="1768048"/>
                </a:lnTo>
                <a:lnTo>
                  <a:pt x="431280" y="1728669"/>
                </a:lnTo>
                <a:cubicBezTo>
                  <a:pt x="466398" y="1498835"/>
                  <a:pt x="552229" y="1285690"/>
                  <a:pt x="676996" y="1101011"/>
                </a:cubicBezTo>
                <a:lnTo>
                  <a:pt x="740306" y="1016348"/>
                </a:lnTo>
                <a:lnTo>
                  <a:pt x="600055" y="876097"/>
                </a:lnTo>
                <a:lnTo>
                  <a:pt x="876647" y="599505"/>
                </a:lnTo>
                <a:lnTo>
                  <a:pt x="1018028" y="740887"/>
                </a:lnTo>
                <a:lnTo>
                  <a:pt x="1093727" y="684280"/>
                </a:lnTo>
                <a:cubicBezTo>
                  <a:pt x="1278406" y="559513"/>
                  <a:pt x="1491551" y="473682"/>
                  <a:pt x="1721384" y="438564"/>
                </a:cubicBezTo>
                <a:lnTo>
                  <a:pt x="1761169" y="434020"/>
                </a:lnTo>
                <a:lnTo>
                  <a:pt x="1761169" y="237372"/>
                </a:lnTo>
                <a:lnTo>
                  <a:pt x="2152329" y="237372"/>
                </a:lnTo>
                <a:lnTo>
                  <a:pt x="2152329" y="434200"/>
                </a:lnTo>
                <a:lnTo>
                  <a:pt x="2196088" y="439303"/>
                </a:lnTo>
                <a:cubicBezTo>
                  <a:pt x="2430472" y="475871"/>
                  <a:pt x="2647381" y="565202"/>
                  <a:pt x="2834284" y="694767"/>
                </a:cubicBezTo>
                <a:lnTo>
                  <a:pt x="2905278" y="748522"/>
                </a:lnTo>
                <a:lnTo>
                  <a:pt x="3059375" y="594425"/>
                </a:lnTo>
                <a:lnTo>
                  <a:pt x="3335966" y="871017"/>
                </a:lnTo>
                <a:lnTo>
                  <a:pt x="3180588" y="1026395"/>
                </a:lnTo>
                <a:lnTo>
                  <a:pt x="3203695" y="1055441"/>
                </a:lnTo>
                <a:cubicBezTo>
                  <a:pt x="3331226" y="1230298"/>
                  <a:pt x="3422882" y="1432990"/>
                  <a:pt x="3467840" y="1652692"/>
                </a:cubicBezTo>
                <a:lnTo>
                  <a:pt x="3485445" y="1768048"/>
                </a:lnTo>
                <a:lnTo>
                  <a:pt x="3705716" y="1768047"/>
                </a:lnTo>
                <a:lnTo>
                  <a:pt x="3705716" y="2159208"/>
                </a:lnTo>
                <a:lnTo>
                  <a:pt x="3485819" y="2159208"/>
                </a:lnTo>
                <a:lnTo>
                  <a:pt x="3480669" y="2203374"/>
                </a:lnTo>
                <a:cubicBezTo>
                  <a:pt x="3444101" y="2437758"/>
                  <a:pt x="3354770" y="2654666"/>
                  <a:pt x="3225205" y="2841569"/>
                </a:cubicBezTo>
                <a:lnTo>
                  <a:pt x="3188915" y="2889497"/>
                </a:lnTo>
                <a:lnTo>
                  <a:pt x="3354168" y="3054749"/>
                </a:lnTo>
                <a:lnTo>
                  <a:pt x="3077576" y="3331341"/>
                </a:lnTo>
                <a:lnTo>
                  <a:pt x="2916150" y="3169916"/>
                </a:lnTo>
                <a:lnTo>
                  <a:pt x="2864531" y="3210980"/>
                </a:lnTo>
                <a:cubicBezTo>
                  <a:pt x="2689674" y="3338511"/>
                  <a:pt x="2486983" y="3430167"/>
                  <a:pt x="2267281" y="3475124"/>
                </a:cubicBezTo>
                <a:lnTo>
                  <a:pt x="2152329" y="3492668"/>
                </a:lnTo>
                <a:lnTo>
                  <a:pt x="2152329" y="3679727"/>
                </a:lnTo>
                <a:lnTo>
                  <a:pt x="1761169" y="3679727"/>
                </a:lnTo>
                <a:lnTo>
                  <a:pt x="1761169" y="3493151"/>
                </a:lnTo>
                <a:lnTo>
                  <a:pt x="1716599" y="3487953"/>
                </a:lnTo>
                <a:cubicBezTo>
                  <a:pt x="1482215" y="3451386"/>
                  <a:pt x="1265307" y="3362054"/>
                  <a:pt x="1078403" y="3232489"/>
                </a:cubicBezTo>
                <a:lnTo>
                  <a:pt x="1008955" y="3179904"/>
                </a:lnTo>
                <a:lnTo>
                  <a:pt x="867678" y="3321181"/>
                </a:lnTo>
                <a:lnTo>
                  <a:pt x="591086" y="3044589"/>
                </a:lnTo>
                <a:lnTo>
                  <a:pt x="733302" y="2902373"/>
                </a:lnTo>
                <a:lnTo>
                  <a:pt x="708992" y="2871816"/>
                </a:lnTo>
                <a:cubicBezTo>
                  <a:pt x="581462" y="2696958"/>
                  <a:pt x="489806" y="2494267"/>
                  <a:pt x="444848" y="2274565"/>
                </a:cubicBezTo>
                <a:lnTo>
                  <a:pt x="427243" y="2159208"/>
                </a:lnTo>
                <a:lnTo>
                  <a:pt x="205650" y="2159208"/>
                </a:lnTo>
                <a:close/>
                <a:moveTo>
                  <a:pt x="0" y="1657355"/>
                </a:moveTo>
                <a:lnTo>
                  <a:pt x="0" y="2259336"/>
                </a:lnTo>
                <a:cubicBezTo>
                  <a:pt x="0" y="2359862"/>
                  <a:pt x="81493" y="2441355"/>
                  <a:pt x="182019" y="2441355"/>
                </a:cubicBezTo>
                <a:lnTo>
                  <a:pt x="288446" y="2441355"/>
                </a:lnTo>
                <a:lnTo>
                  <a:pt x="297092" y="2474982"/>
                </a:lnTo>
                <a:cubicBezTo>
                  <a:pt x="330935" y="2583786"/>
                  <a:pt x="375183" y="2688005"/>
                  <a:pt x="428674" y="2786474"/>
                </a:cubicBezTo>
                <a:lnTo>
                  <a:pt x="438202" y="2802155"/>
                </a:lnTo>
                <a:lnTo>
                  <a:pt x="356981" y="2883377"/>
                </a:lnTo>
                <a:cubicBezTo>
                  <a:pt x="319309" y="2921048"/>
                  <a:pt x="300472" y="2970423"/>
                  <a:pt x="300472" y="3019797"/>
                </a:cubicBezTo>
                <a:cubicBezTo>
                  <a:pt x="300472" y="3069171"/>
                  <a:pt x="319309" y="3118545"/>
                  <a:pt x="356981" y="3156217"/>
                </a:cubicBezTo>
                <a:lnTo>
                  <a:pt x="767218" y="3566456"/>
                </a:lnTo>
                <a:cubicBezTo>
                  <a:pt x="842561" y="3641799"/>
                  <a:pt x="964715" y="3641799"/>
                  <a:pt x="1040058" y="3566456"/>
                </a:cubicBezTo>
                <a:lnTo>
                  <a:pt x="1123416" y="3483099"/>
                </a:lnTo>
                <a:lnTo>
                  <a:pt x="1128215" y="3486015"/>
                </a:lnTo>
                <a:cubicBezTo>
                  <a:pt x="1226684" y="3539507"/>
                  <a:pt x="1330903" y="3583755"/>
                  <a:pt x="1439708" y="3617597"/>
                </a:cubicBezTo>
                <a:lnTo>
                  <a:pt x="1487038" y="3629767"/>
                </a:lnTo>
                <a:lnTo>
                  <a:pt x="1487038" y="3730248"/>
                </a:lnTo>
                <a:cubicBezTo>
                  <a:pt x="1487038" y="3839052"/>
                  <a:pt x="1575241" y="3927255"/>
                  <a:pt x="1684045" y="3927255"/>
                </a:cubicBezTo>
                <a:lnTo>
                  <a:pt x="2256049" y="3927255"/>
                </a:lnTo>
                <a:cubicBezTo>
                  <a:pt x="2364853" y="3927255"/>
                  <a:pt x="2453056" y="3839052"/>
                  <a:pt x="2453056" y="3730248"/>
                </a:cubicBezTo>
                <a:lnTo>
                  <a:pt x="2453056" y="3622720"/>
                </a:lnTo>
                <a:lnTo>
                  <a:pt x="2472982" y="3617597"/>
                </a:lnTo>
                <a:cubicBezTo>
                  <a:pt x="2581785" y="3583755"/>
                  <a:pt x="2686004" y="3539507"/>
                  <a:pt x="2784473" y="3486015"/>
                </a:cubicBezTo>
                <a:lnTo>
                  <a:pt x="2806322" y="3472742"/>
                </a:lnTo>
                <a:lnTo>
                  <a:pt x="2900036" y="3566456"/>
                </a:lnTo>
                <a:cubicBezTo>
                  <a:pt x="2975379" y="3641799"/>
                  <a:pt x="3097533" y="3641799"/>
                  <a:pt x="3172876" y="3566456"/>
                </a:cubicBezTo>
                <a:lnTo>
                  <a:pt x="3583115" y="3156217"/>
                </a:lnTo>
                <a:cubicBezTo>
                  <a:pt x="3658458" y="3080874"/>
                  <a:pt x="3658458" y="2958720"/>
                  <a:pt x="3583115" y="2883377"/>
                </a:cubicBezTo>
                <a:lnTo>
                  <a:pt x="3484728" y="2784991"/>
                </a:lnTo>
                <a:lnTo>
                  <a:pt x="3557174" y="2634603"/>
                </a:lnTo>
                <a:cubicBezTo>
                  <a:pt x="3579152" y="2582640"/>
                  <a:pt x="3598675" y="2529384"/>
                  <a:pt x="3615596" y="2474982"/>
                </a:cubicBezTo>
                <a:lnTo>
                  <a:pt x="3622705" y="2447335"/>
                </a:lnTo>
                <a:lnTo>
                  <a:pt x="3729616" y="2447335"/>
                </a:lnTo>
                <a:cubicBezTo>
                  <a:pt x="3830724" y="2447335"/>
                  <a:pt x="3912688" y="2365371"/>
                  <a:pt x="3912688" y="2264263"/>
                </a:cubicBezTo>
                <a:lnTo>
                  <a:pt x="3912688" y="1664388"/>
                </a:lnTo>
                <a:cubicBezTo>
                  <a:pt x="3912688" y="1563280"/>
                  <a:pt x="3830724" y="1481316"/>
                  <a:pt x="3729616" y="1481316"/>
                </a:cubicBezTo>
                <a:lnTo>
                  <a:pt x="3625780" y="1481316"/>
                </a:lnTo>
                <a:lnTo>
                  <a:pt x="3615596" y="1441707"/>
                </a:lnTo>
                <a:cubicBezTo>
                  <a:pt x="3598675" y="1387305"/>
                  <a:pt x="3579152" y="1334050"/>
                  <a:pt x="3557173" y="1282086"/>
                </a:cubicBezTo>
                <a:lnTo>
                  <a:pt x="3486275" y="1134910"/>
                </a:lnTo>
                <a:lnTo>
                  <a:pt x="3583115" y="1038071"/>
                </a:lnTo>
                <a:cubicBezTo>
                  <a:pt x="3658458" y="962728"/>
                  <a:pt x="3658458" y="840574"/>
                  <a:pt x="3583115" y="765231"/>
                </a:cubicBezTo>
                <a:lnTo>
                  <a:pt x="3172876" y="354992"/>
                </a:lnTo>
                <a:cubicBezTo>
                  <a:pt x="3097533" y="279649"/>
                  <a:pt x="2975379" y="279649"/>
                  <a:pt x="2900036" y="354992"/>
                </a:cubicBezTo>
                <a:lnTo>
                  <a:pt x="2809282" y="445747"/>
                </a:lnTo>
                <a:lnTo>
                  <a:pt x="2784473" y="430675"/>
                </a:lnTo>
                <a:cubicBezTo>
                  <a:pt x="2686004" y="377183"/>
                  <a:pt x="2581785" y="332935"/>
                  <a:pt x="2472981" y="299093"/>
                </a:cubicBezTo>
                <a:lnTo>
                  <a:pt x="2453056" y="293970"/>
                </a:lnTo>
                <a:lnTo>
                  <a:pt x="2453056" y="197007"/>
                </a:lnTo>
                <a:cubicBezTo>
                  <a:pt x="2453056" y="88203"/>
                  <a:pt x="2364853" y="0"/>
                  <a:pt x="2256049" y="0"/>
                </a:cubicBezTo>
                <a:lnTo>
                  <a:pt x="1684045" y="0"/>
                </a:lnTo>
                <a:cubicBezTo>
                  <a:pt x="1575241" y="0"/>
                  <a:pt x="1487038" y="88203"/>
                  <a:pt x="1487038" y="197007"/>
                </a:cubicBezTo>
                <a:lnTo>
                  <a:pt x="1487038" y="286923"/>
                </a:lnTo>
                <a:lnTo>
                  <a:pt x="1439707" y="299093"/>
                </a:lnTo>
                <a:cubicBezTo>
                  <a:pt x="1330903" y="332935"/>
                  <a:pt x="1226684" y="377183"/>
                  <a:pt x="1128215" y="430675"/>
                </a:cubicBezTo>
                <a:lnTo>
                  <a:pt x="1114538" y="438985"/>
                </a:lnTo>
                <a:lnTo>
                  <a:pt x="1030544" y="354992"/>
                </a:lnTo>
                <a:cubicBezTo>
                  <a:pt x="955201" y="279649"/>
                  <a:pt x="833047" y="279649"/>
                  <a:pt x="757704" y="354992"/>
                </a:cubicBezTo>
                <a:lnTo>
                  <a:pt x="347466" y="765231"/>
                </a:lnTo>
                <a:cubicBezTo>
                  <a:pt x="309794" y="802902"/>
                  <a:pt x="290958" y="852276"/>
                  <a:pt x="290958" y="901651"/>
                </a:cubicBezTo>
                <a:cubicBezTo>
                  <a:pt x="290958" y="951025"/>
                  <a:pt x="309794" y="1000399"/>
                  <a:pt x="347466" y="1038071"/>
                </a:cubicBezTo>
                <a:lnTo>
                  <a:pt x="432807" y="1123413"/>
                </a:lnTo>
                <a:lnTo>
                  <a:pt x="428674" y="1130216"/>
                </a:lnTo>
                <a:cubicBezTo>
                  <a:pt x="375183" y="1228685"/>
                  <a:pt x="330934" y="1332904"/>
                  <a:pt x="297092" y="1441707"/>
                </a:cubicBezTo>
                <a:lnTo>
                  <a:pt x="288446" y="1475336"/>
                </a:lnTo>
                <a:lnTo>
                  <a:pt x="182019" y="1475336"/>
                </a:lnTo>
                <a:cubicBezTo>
                  <a:pt x="81493" y="1475336"/>
                  <a:pt x="0" y="1556829"/>
                  <a:pt x="0" y="1657355"/>
                </a:cubicBez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2" name="Стрелка: вверх 69">
            <a:extLst>
              <a:ext uri="{FF2B5EF4-FFF2-40B4-BE49-F238E27FC236}">
                <a16:creationId xmlns:a16="http://schemas.microsoft.com/office/drawing/2014/main" id="{BAF94CC8-7D4D-40D2-A369-33200796FD2A}"/>
              </a:ext>
            </a:extLst>
          </xdr:cNvPr>
          <xdr:cNvSpPr/>
        </xdr:nvSpPr>
        <xdr:spPr>
          <a:xfrm rot="2740581">
            <a:off x="-879362" y="1042552"/>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3" name="Стрелка: вверх 70">
            <a:extLst>
              <a:ext uri="{FF2B5EF4-FFF2-40B4-BE49-F238E27FC236}">
                <a16:creationId xmlns:a16="http://schemas.microsoft.com/office/drawing/2014/main" id="{0AC0E501-AE97-4255-B690-F506BECA0470}"/>
              </a:ext>
            </a:extLst>
          </xdr:cNvPr>
          <xdr:cNvSpPr/>
        </xdr:nvSpPr>
        <xdr:spPr>
          <a:xfrm rot="5400000">
            <a:off x="-842935" y="1127078"/>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4" name="Стрелка: вверх 71">
            <a:extLst>
              <a:ext uri="{FF2B5EF4-FFF2-40B4-BE49-F238E27FC236}">
                <a16:creationId xmlns:a16="http://schemas.microsoft.com/office/drawing/2014/main" id="{19FCBB9A-02BC-4C25-BC9C-630F5036FF06}"/>
              </a:ext>
            </a:extLst>
          </xdr:cNvPr>
          <xdr:cNvSpPr/>
        </xdr:nvSpPr>
        <xdr:spPr>
          <a:xfrm rot="18859419" flipV="1">
            <a:off x="-879362" y="1211603"/>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5" name="Полилиния: фигура 72">
            <a:extLst>
              <a:ext uri="{FF2B5EF4-FFF2-40B4-BE49-F238E27FC236}">
                <a16:creationId xmlns:a16="http://schemas.microsoft.com/office/drawing/2014/main" id="{4069FFD9-ACBB-427B-B950-2E472C08F8D1}"/>
              </a:ext>
            </a:extLst>
          </xdr:cNvPr>
          <xdr:cNvSpPr/>
        </xdr:nvSpPr>
        <xdr:spPr>
          <a:xfrm>
            <a:off x="-1154484" y="843089"/>
            <a:ext cx="759196" cy="776810"/>
          </a:xfrm>
          <a:custGeom>
            <a:avLst/>
            <a:gdLst>
              <a:gd name="connsiteX0" fmla="*/ 1946623 w 2178050"/>
              <a:gd name="connsiteY0" fmla="*/ 1417373 h 2228587"/>
              <a:gd name="connsiteX1" fmla="*/ 2006452 w 2178050"/>
              <a:gd name="connsiteY1" fmla="*/ 1548087 h 2228587"/>
              <a:gd name="connsiteX2" fmla="*/ 1979608 w 2178050"/>
              <a:gd name="connsiteY2" fmla="*/ 1603813 h 2228587"/>
              <a:gd name="connsiteX3" fmla="*/ 1089025 w 2178050"/>
              <a:gd name="connsiteY3" fmla="*/ 2133865 h 2228587"/>
              <a:gd name="connsiteX4" fmla="*/ 1070803 w 2178050"/>
              <a:gd name="connsiteY4" fmla="*/ 2132945 h 2228587"/>
              <a:gd name="connsiteX5" fmla="*/ 1070803 w 2178050"/>
              <a:gd name="connsiteY5" fmla="*/ 2228587 h 2228587"/>
              <a:gd name="connsiteX6" fmla="*/ 751715 w 2178050"/>
              <a:gd name="connsiteY6" fmla="*/ 2082537 h 2228587"/>
              <a:gd name="connsiteX7" fmla="*/ 1070803 w 2178050"/>
              <a:gd name="connsiteY7" fmla="*/ 1936487 h 2228587"/>
              <a:gd name="connsiteX8" fmla="*/ 1070803 w 2178050"/>
              <a:gd name="connsiteY8" fmla="*/ 2028170 h 2228587"/>
              <a:gd name="connsiteX9" fmla="*/ 1089025 w 2178050"/>
              <a:gd name="connsiteY9" fmla="*/ 2029090 h 2228587"/>
              <a:gd name="connsiteX10" fmla="*/ 1925716 w 2178050"/>
              <a:gd name="connsiteY10" fmla="*/ 1474494 h 2228587"/>
              <a:gd name="connsiteX11" fmla="*/ 146050 w 2178050"/>
              <a:gd name="connsiteY11" fmla="*/ 772848 h 2228587"/>
              <a:gd name="connsiteX12" fmla="*/ 292100 w 2178050"/>
              <a:gd name="connsiteY12" fmla="*/ 1091936 h 2228587"/>
              <a:gd name="connsiteX13" fmla="*/ 182445 w 2178050"/>
              <a:gd name="connsiteY13" fmla="*/ 1091936 h 2228587"/>
              <a:gd name="connsiteX14" fmla="*/ 180975 w 2178050"/>
              <a:gd name="connsiteY14" fmla="*/ 1121040 h 2228587"/>
              <a:gd name="connsiteX15" fmla="*/ 735571 w 2178050"/>
              <a:gd name="connsiteY15" fmla="*/ 1957731 h 2228587"/>
              <a:gd name="connsiteX16" fmla="*/ 796925 w 2178050"/>
              <a:gd name="connsiteY16" fmla="*/ 1980187 h 2228587"/>
              <a:gd name="connsiteX17" fmla="*/ 796925 w 2178050"/>
              <a:gd name="connsiteY17" fmla="*/ 1990794 h 2228587"/>
              <a:gd name="connsiteX18" fmla="*/ 676980 w 2178050"/>
              <a:gd name="connsiteY18" fmla="*/ 2045694 h 2228587"/>
              <a:gd name="connsiteX19" fmla="*/ 606253 w 2178050"/>
              <a:gd name="connsiteY19" fmla="*/ 2011623 h 2228587"/>
              <a:gd name="connsiteX20" fmla="*/ 76200 w 2178050"/>
              <a:gd name="connsiteY20" fmla="*/ 1121040 h 2228587"/>
              <a:gd name="connsiteX21" fmla="*/ 77670 w 2178050"/>
              <a:gd name="connsiteY21" fmla="*/ 1091936 h 2228587"/>
              <a:gd name="connsiteX22" fmla="*/ 0 w 2178050"/>
              <a:gd name="connsiteY22" fmla="*/ 1091936 h 2228587"/>
              <a:gd name="connsiteX23" fmla="*/ 1488809 w 2178050"/>
              <a:gd name="connsiteY23" fmla="*/ 190480 h 2228587"/>
              <a:gd name="connsiteX24" fmla="*/ 1571798 w 2178050"/>
              <a:gd name="connsiteY24" fmla="*/ 230458 h 2228587"/>
              <a:gd name="connsiteX25" fmla="*/ 2101850 w 2178050"/>
              <a:gd name="connsiteY25" fmla="*/ 1121040 h 2228587"/>
              <a:gd name="connsiteX26" fmla="*/ 2100795 w 2178050"/>
              <a:gd name="connsiteY26" fmla="*/ 1141941 h 2228587"/>
              <a:gd name="connsiteX27" fmla="*/ 2178050 w 2178050"/>
              <a:gd name="connsiteY27" fmla="*/ 1141941 h 2228587"/>
              <a:gd name="connsiteX28" fmla="*/ 2032000 w 2178050"/>
              <a:gd name="connsiteY28" fmla="*/ 1461029 h 2228587"/>
              <a:gd name="connsiteX29" fmla="*/ 1885950 w 2178050"/>
              <a:gd name="connsiteY29" fmla="*/ 1141941 h 2228587"/>
              <a:gd name="connsiteX30" fmla="*/ 1996020 w 2178050"/>
              <a:gd name="connsiteY30" fmla="*/ 1141941 h 2228587"/>
              <a:gd name="connsiteX31" fmla="*/ 1997075 w 2178050"/>
              <a:gd name="connsiteY31" fmla="*/ 1121040 h 2228587"/>
              <a:gd name="connsiteX32" fmla="*/ 1359051 w 2178050"/>
              <a:gd name="connsiteY32" fmla="*/ 253814 h 2228587"/>
              <a:gd name="connsiteX33" fmla="*/ 1353535 w 2178050"/>
              <a:gd name="connsiteY33" fmla="*/ 252396 h 2228587"/>
              <a:gd name="connsiteX34" fmla="*/ 1112043 w 2178050"/>
              <a:gd name="connsiteY34" fmla="*/ 0 h 2228587"/>
              <a:gd name="connsiteX35" fmla="*/ 1431131 w 2178050"/>
              <a:gd name="connsiteY35" fmla="*/ 146050 h 2228587"/>
              <a:gd name="connsiteX36" fmla="*/ 1112043 w 2178050"/>
              <a:gd name="connsiteY36" fmla="*/ 292100 h 2228587"/>
              <a:gd name="connsiteX37" fmla="*/ 1112043 w 2178050"/>
              <a:gd name="connsiteY37" fmla="*/ 214152 h 2228587"/>
              <a:gd name="connsiteX38" fmla="*/ 1089025 w 2178050"/>
              <a:gd name="connsiteY38" fmla="*/ 212990 h 2228587"/>
              <a:gd name="connsiteX39" fmla="*/ 252334 w 2178050"/>
              <a:gd name="connsiteY39" fmla="*/ 767586 h 2228587"/>
              <a:gd name="connsiteX40" fmla="*/ 231362 w 2178050"/>
              <a:gd name="connsiteY40" fmla="*/ 824886 h 2228587"/>
              <a:gd name="connsiteX41" fmla="*/ 171523 w 2178050"/>
              <a:gd name="connsiteY41" fmla="*/ 694150 h 2228587"/>
              <a:gd name="connsiteX42" fmla="*/ 198443 w 2178050"/>
              <a:gd name="connsiteY42" fmla="*/ 638267 h 2228587"/>
              <a:gd name="connsiteX43" fmla="*/ 1089025 w 2178050"/>
              <a:gd name="connsiteY43" fmla="*/ 108215 h 2228587"/>
              <a:gd name="connsiteX44" fmla="*/ 1112043 w 2178050"/>
              <a:gd name="connsiteY44" fmla="*/ 109377 h 2228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2178050" h="2228587">
                <a:moveTo>
                  <a:pt x="1946623" y="1417373"/>
                </a:moveTo>
                <a:lnTo>
                  <a:pt x="2006452" y="1548087"/>
                </a:lnTo>
                <a:lnTo>
                  <a:pt x="1979608" y="1603813"/>
                </a:lnTo>
                <a:cubicBezTo>
                  <a:pt x="1808097" y="1919536"/>
                  <a:pt x="1473591" y="2133865"/>
                  <a:pt x="1089025" y="2133865"/>
                </a:cubicBezTo>
                <a:lnTo>
                  <a:pt x="1070803" y="2132945"/>
                </a:lnTo>
                <a:lnTo>
                  <a:pt x="1070803" y="2228587"/>
                </a:lnTo>
                <a:lnTo>
                  <a:pt x="751715" y="2082537"/>
                </a:lnTo>
                <a:lnTo>
                  <a:pt x="1070803" y="1936487"/>
                </a:lnTo>
                <a:lnTo>
                  <a:pt x="1070803" y="2028170"/>
                </a:lnTo>
                <a:lnTo>
                  <a:pt x="1089025" y="2029090"/>
                </a:lnTo>
                <a:cubicBezTo>
                  <a:pt x="1465152" y="2029090"/>
                  <a:pt x="1787867" y="1800407"/>
                  <a:pt x="1925716" y="1474494"/>
                </a:cubicBezTo>
                <a:close/>
                <a:moveTo>
                  <a:pt x="146050" y="772848"/>
                </a:moveTo>
                <a:lnTo>
                  <a:pt x="292100" y="1091936"/>
                </a:lnTo>
                <a:lnTo>
                  <a:pt x="182445" y="1091936"/>
                </a:lnTo>
                <a:lnTo>
                  <a:pt x="180975" y="1121040"/>
                </a:lnTo>
                <a:cubicBezTo>
                  <a:pt x="180975" y="1497167"/>
                  <a:pt x="409658" y="1819882"/>
                  <a:pt x="735571" y="1957731"/>
                </a:cubicBezTo>
                <a:lnTo>
                  <a:pt x="796925" y="1980187"/>
                </a:lnTo>
                <a:lnTo>
                  <a:pt x="796925" y="1990794"/>
                </a:lnTo>
                <a:lnTo>
                  <a:pt x="676980" y="2045694"/>
                </a:lnTo>
                <a:lnTo>
                  <a:pt x="606253" y="2011623"/>
                </a:lnTo>
                <a:cubicBezTo>
                  <a:pt x="290529" y="1840112"/>
                  <a:pt x="76200" y="1505606"/>
                  <a:pt x="76200" y="1121040"/>
                </a:cubicBezTo>
                <a:lnTo>
                  <a:pt x="77670" y="1091936"/>
                </a:lnTo>
                <a:lnTo>
                  <a:pt x="0" y="1091936"/>
                </a:lnTo>
                <a:close/>
                <a:moveTo>
                  <a:pt x="1488809" y="190480"/>
                </a:moveTo>
                <a:lnTo>
                  <a:pt x="1571798" y="230458"/>
                </a:lnTo>
                <a:cubicBezTo>
                  <a:pt x="1887521" y="401969"/>
                  <a:pt x="2101850" y="736475"/>
                  <a:pt x="2101850" y="1121040"/>
                </a:cubicBezTo>
                <a:lnTo>
                  <a:pt x="2100795" y="1141941"/>
                </a:lnTo>
                <a:lnTo>
                  <a:pt x="2178050" y="1141941"/>
                </a:lnTo>
                <a:lnTo>
                  <a:pt x="2032000" y="1461029"/>
                </a:lnTo>
                <a:lnTo>
                  <a:pt x="1885950" y="1141941"/>
                </a:lnTo>
                <a:lnTo>
                  <a:pt x="1996020" y="1141941"/>
                </a:lnTo>
                <a:lnTo>
                  <a:pt x="1997075" y="1121040"/>
                </a:lnTo>
                <a:cubicBezTo>
                  <a:pt x="1997075" y="713570"/>
                  <a:pt x="1728690" y="368784"/>
                  <a:pt x="1359051" y="253814"/>
                </a:cubicBezTo>
                <a:lnTo>
                  <a:pt x="1353535" y="252396"/>
                </a:lnTo>
                <a:close/>
                <a:moveTo>
                  <a:pt x="1112043" y="0"/>
                </a:moveTo>
                <a:lnTo>
                  <a:pt x="1431131" y="146050"/>
                </a:lnTo>
                <a:lnTo>
                  <a:pt x="1112043" y="292100"/>
                </a:lnTo>
                <a:lnTo>
                  <a:pt x="1112043" y="214152"/>
                </a:lnTo>
                <a:lnTo>
                  <a:pt x="1089025" y="212990"/>
                </a:lnTo>
                <a:cubicBezTo>
                  <a:pt x="712899" y="212990"/>
                  <a:pt x="390184" y="441673"/>
                  <a:pt x="252334" y="767586"/>
                </a:cubicBezTo>
                <a:lnTo>
                  <a:pt x="231362" y="824886"/>
                </a:lnTo>
                <a:lnTo>
                  <a:pt x="171523" y="694150"/>
                </a:lnTo>
                <a:lnTo>
                  <a:pt x="198443" y="638267"/>
                </a:lnTo>
                <a:cubicBezTo>
                  <a:pt x="369954" y="322544"/>
                  <a:pt x="704460" y="108215"/>
                  <a:pt x="1089025" y="108215"/>
                </a:cubicBezTo>
                <a:lnTo>
                  <a:pt x="1112043" y="109377"/>
                </a:ln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6" name="Овал 195">
            <a:extLst>
              <a:ext uri="{FF2B5EF4-FFF2-40B4-BE49-F238E27FC236}">
                <a16:creationId xmlns:a16="http://schemas.microsoft.com/office/drawing/2014/main" id="{0B38B347-A0AD-4D28-903C-BE0E0C942782}"/>
              </a:ext>
            </a:extLst>
          </xdr:cNvPr>
          <xdr:cNvSpPr/>
        </xdr:nvSpPr>
        <xdr:spPr>
          <a:xfrm>
            <a:off x="-671885" y="1180112"/>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7" name="Овал 196">
            <a:extLst>
              <a:ext uri="{FF2B5EF4-FFF2-40B4-BE49-F238E27FC236}">
                <a16:creationId xmlns:a16="http://schemas.microsoft.com/office/drawing/2014/main" id="{41A14FD6-72CA-45E0-A6F0-71B8BF6F73F9}"/>
              </a:ext>
            </a:extLst>
          </xdr:cNvPr>
          <xdr:cNvSpPr/>
        </xdr:nvSpPr>
        <xdr:spPr>
          <a:xfrm>
            <a:off x="-758760" y="974818"/>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8" name="Овал 197">
            <a:extLst>
              <a:ext uri="{FF2B5EF4-FFF2-40B4-BE49-F238E27FC236}">
                <a16:creationId xmlns:a16="http://schemas.microsoft.com/office/drawing/2014/main" id="{E53BB91C-77BA-41EE-A8EA-C1BE2EB3B629}"/>
              </a:ext>
            </a:extLst>
          </xdr:cNvPr>
          <xdr:cNvSpPr/>
        </xdr:nvSpPr>
        <xdr:spPr>
          <a:xfrm>
            <a:off x="-764294" y="1394257"/>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9" name="Овал 198">
            <a:extLst>
              <a:ext uri="{FF2B5EF4-FFF2-40B4-BE49-F238E27FC236}">
                <a16:creationId xmlns:a16="http://schemas.microsoft.com/office/drawing/2014/main" id="{519C0846-FDD7-44EF-9973-0B43113938C2}"/>
              </a:ext>
            </a:extLst>
          </xdr:cNvPr>
          <xdr:cNvSpPr/>
        </xdr:nvSpPr>
        <xdr:spPr>
          <a:xfrm>
            <a:off x="-1041196" y="1146683"/>
            <a:ext cx="176266" cy="17626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00" name="Овал 199">
            <a:extLst>
              <a:ext uri="{FF2B5EF4-FFF2-40B4-BE49-F238E27FC236}">
                <a16:creationId xmlns:a16="http://schemas.microsoft.com/office/drawing/2014/main" id="{39D62DDE-4D29-4B46-BEA0-C8759473A78F}"/>
              </a:ext>
            </a:extLst>
          </xdr:cNvPr>
          <xdr:cNvSpPr/>
        </xdr:nvSpPr>
        <xdr:spPr>
          <a:xfrm>
            <a:off x="-1007768" y="1180112"/>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5</xdr:col>
      <xdr:colOff>503796</xdr:colOff>
      <xdr:row>51</xdr:row>
      <xdr:rowOff>109491</xdr:rowOff>
    </xdr:from>
    <xdr:to>
      <xdr:col>6</xdr:col>
      <xdr:colOff>254631</xdr:colOff>
      <xdr:row>54</xdr:row>
      <xdr:rowOff>128233</xdr:rowOff>
    </xdr:to>
    <xdr:grpSp>
      <xdr:nvGrpSpPr>
        <xdr:cNvPr id="174" name="Группа 173">
          <a:extLst>
            <a:ext uri="{FF2B5EF4-FFF2-40B4-BE49-F238E27FC236}">
              <a16:creationId xmlns:a16="http://schemas.microsoft.com/office/drawing/2014/main" id="{7AC48D7D-3017-4BEC-ABEE-F4507633CD1E}"/>
            </a:ext>
          </a:extLst>
        </xdr:cNvPr>
        <xdr:cNvGrpSpPr>
          <a:grpSpLocks noChangeAspect="1"/>
        </xdr:cNvGrpSpPr>
      </xdr:nvGrpSpPr>
      <xdr:grpSpPr>
        <a:xfrm>
          <a:off x="3529384" y="10149962"/>
          <a:ext cx="355953" cy="590242"/>
          <a:chOff x="606861" y="1802438"/>
          <a:chExt cx="199023" cy="313294"/>
        </a:xfrm>
      </xdr:grpSpPr>
      <xdr:sp macro="" textlink="">
        <xdr:nvSpPr>
          <xdr:cNvPr id="186" name="Скругленный прямоугольник 185">
            <a:extLst>
              <a:ext uri="{FF2B5EF4-FFF2-40B4-BE49-F238E27FC236}">
                <a16:creationId xmlns:a16="http://schemas.microsoft.com/office/drawing/2014/main" id="{9BA0B229-D4F1-416B-88C1-863623C688AA}"/>
              </a:ext>
            </a:extLst>
          </xdr:cNvPr>
          <xdr:cNvSpPr/>
        </xdr:nvSpPr>
        <xdr:spPr>
          <a:xfrm>
            <a:off x="606861" y="1802438"/>
            <a:ext cx="199023" cy="313294"/>
          </a:xfrm>
          <a:prstGeom prst="roundRect">
            <a:avLst>
              <a:gd name="adj" fmla="val 9968"/>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7" name="Скругленный прямоугольник 186">
            <a:extLst>
              <a:ext uri="{FF2B5EF4-FFF2-40B4-BE49-F238E27FC236}">
                <a16:creationId xmlns:a16="http://schemas.microsoft.com/office/drawing/2014/main" id="{7696FCCC-6C4B-4EFA-B70C-65929803E0BB}"/>
              </a:ext>
            </a:extLst>
          </xdr:cNvPr>
          <xdr:cNvSpPr/>
        </xdr:nvSpPr>
        <xdr:spPr>
          <a:xfrm>
            <a:off x="641380" y="1855764"/>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8" name="Скругленный прямоугольник 187">
            <a:extLst>
              <a:ext uri="{FF2B5EF4-FFF2-40B4-BE49-F238E27FC236}">
                <a16:creationId xmlns:a16="http://schemas.microsoft.com/office/drawing/2014/main" id="{ADB40329-88A1-440F-9265-E3507536259C}"/>
              </a:ext>
            </a:extLst>
          </xdr:cNvPr>
          <xdr:cNvSpPr/>
        </xdr:nvSpPr>
        <xdr:spPr>
          <a:xfrm>
            <a:off x="641380" y="1905281"/>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9" name="Скругленный прямоугольник 188">
            <a:extLst>
              <a:ext uri="{FF2B5EF4-FFF2-40B4-BE49-F238E27FC236}">
                <a16:creationId xmlns:a16="http://schemas.microsoft.com/office/drawing/2014/main" id="{2D2CE033-A725-449C-82CE-70D6A68C3AB7}"/>
              </a:ext>
            </a:extLst>
          </xdr:cNvPr>
          <xdr:cNvSpPr/>
        </xdr:nvSpPr>
        <xdr:spPr>
          <a:xfrm>
            <a:off x="641380" y="1954799"/>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0" name="Овал 189">
            <a:extLst>
              <a:ext uri="{FF2B5EF4-FFF2-40B4-BE49-F238E27FC236}">
                <a16:creationId xmlns:a16="http://schemas.microsoft.com/office/drawing/2014/main" id="{D172DA7E-D3AA-4950-83FC-6DDA7ACBBC04}"/>
              </a:ext>
            </a:extLst>
          </xdr:cNvPr>
          <xdr:cNvSpPr/>
        </xdr:nvSpPr>
        <xdr:spPr>
          <a:xfrm>
            <a:off x="685899" y="2048122"/>
            <a:ext cx="40947" cy="40947"/>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13</xdr:col>
      <xdr:colOff>149336</xdr:colOff>
      <xdr:row>51</xdr:row>
      <xdr:rowOff>109491</xdr:rowOff>
    </xdr:from>
    <xdr:to>
      <xdr:col>13</xdr:col>
      <xdr:colOff>609090</xdr:colOff>
      <xdr:row>54</xdr:row>
      <xdr:rowOff>128232</xdr:rowOff>
    </xdr:to>
    <xdr:grpSp>
      <xdr:nvGrpSpPr>
        <xdr:cNvPr id="175" name="Группа 174">
          <a:extLst>
            <a:ext uri="{FF2B5EF4-FFF2-40B4-BE49-F238E27FC236}">
              <a16:creationId xmlns:a16="http://schemas.microsoft.com/office/drawing/2014/main" id="{D7931441-C00A-4634-A757-B2D09F99B0CB}"/>
            </a:ext>
          </a:extLst>
        </xdr:cNvPr>
        <xdr:cNvGrpSpPr>
          <a:grpSpLocks noChangeAspect="1"/>
        </xdr:cNvGrpSpPr>
      </xdr:nvGrpSpPr>
      <xdr:grpSpPr>
        <a:xfrm>
          <a:off x="8015865" y="10149962"/>
          <a:ext cx="459754" cy="590241"/>
          <a:chOff x="2963652" y="203672"/>
          <a:chExt cx="5472608" cy="6753720"/>
        </a:xfrm>
        <a:solidFill>
          <a:srgbClr val="0033CC"/>
        </a:solidFill>
      </xdr:grpSpPr>
      <xdr:sp macro="" textlink="">
        <xdr:nvSpPr>
          <xdr:cNvPr id="176" name="Полилиния 175">
            <a:extLst>
              <a:ext uri="{FF2B5EF4-FFF2-40B4-BE49-F238E27FC236}">
                <a16:creationId xmlns:a16="http://schemas.microsoft.com/office/drawing/2014/main" id="{B42E3758-879D-45BA-9514-88285282D874}"/>
              </a:ext>
            </a:extLst>
          </xdr:cNvPr>
          <xdr:cNvSpPr/>
        </xdr:nvSpPr>
        <xdr:spPr bwMode="auto">
          <a:xfrm>
            <a:off x="2963652" y="3825044"/>
            <a:ext cx="5472608" cy="3132348"/>
          </a:xfrm>
          <a:custGeom>
            <a:avLst/>
            <a:gdLst>
              <a:gd name="connsiteX0" fmla="*/ 4661169 w 5472608"/>
              <a:gd name="connsiteY0" fmla="*/ 404056 h 3132348"/>
              <a:gd name="connsiteX1" fmla="*/ 4661169 w 5472608"/>
              <a:gd name="connsiteY1" fmla="*/ 2720536 h 3132348"/>
              <a:gd name="connsiteX2" fmla="*/ 5046931 w 5472608"/>
              <a:gd name="connsiteY2" fmla="*/ 2720536 h 3132348"/>
              <a:gd name="connsiteX3" fmla="*/ 5046931 w 5472608"/>
              <a:gd name="connsiteY3" fmla="*/ 404056 h 3132348"/>
              <a:gd name="connsiteX4" fmla="*/ 3602296 w 5472608"/>
              <a:gd name="connsiteY4" fmla="*/ 404056 h 3132348"/>
              <a:gd name="connsiteX5" fmla="*/ 3602296 w 5472608"/>
              <a:gd name="connsiteY5" fmla="*/ 2720536 h 3132348"/>
              <a:gd name="connsiteX6" fmla="*/ 3988058 w 5472608"/>
              <a:gd name="connsiteY6" fmla="*/ 2720536 h 3132348"/>
              <a:gd name="connsiteX7" fmla="*/ 3988058 w 5472608"/>
              <a:gd name="connsiteY7" fmla="*/ 404056 h 3132348"/>
              <a:gd name="connsiteX8" fmla="*/ 2543423 w 5472608"/>
              <a:gd name="connsiteY8" fmla="*/ 404056 h 3132348"/>
              <a:gd name="connsiteX9" fmla="*/ 2543423 w 5472608"/>
              <a:gd name="connsiteY9" fmla="*/ 2720536 h 3132348"/>
              <a:gd name="connsiteX10" fmla="*/ 2929185 w 5472608"/>
              <a:gd name="connsiteY10" fmla="*/ 2720536 h 3132348"/>
              <a:gd name="connsiteX11" fmla="*/ 2929185 w 5472608"/>
              <a:gd name="connsiteY11" fmla="*/ 404056 h 3132348"/>
              <a:gd name="connsiteX12" fmla="*/ 1484550 w 5472608"/>
              <a:gd name="connsiteY12" fmla="*/ 404056 h 3132348"/>
              <a:gd name="connsiteX13" fmla="*/ 1484550 w 5472608"/>
              <a:gd name="connsiteY13" fmla="*/ 2720536 h 3132348"/>
              <a:gd name="connsiteX14" fmla="*/ 1870312 w 5472608"/>
              <a:gd name="connsiteY14" fmla="*/ 2720536 h 3132348"/>
              <a:gd name="connsiteX15" fmla="*/ 1870312 w 5472608"/>
              <a:gd name="connsiteY15" fmla="*/ 404056 h 3132348"/>
              <a:gd name="connsiteX16" fmla="*/ 425677 w 5472608"/>
              <a:gd name="connsiteY16" fmla="*/ 404056 h 3132348"/>
              <a:gd name="connsiteX17" fmla="*/ 425677 w 5472608"/>
              <a:gd name="connsiteY17" fmla="*/ 2720536 h 3132348"/>
              <a:gd name="connsiteX18" fmla="*/ 811439 w 5472608"/>
              <a:gd name="connsiteY18" fmla="*/ 2720536 h 3132348"/>
              <a:gd name="connsiteX19" fmla="*/ 811439 w 5472608"/>
              <a:gd name="connsiteY19" fmla="*/ 404056 h 3132348"/>
              <a:gd name="connsiteX20" fmla="*/ 112483 w 5472608"/>
              <a:gd name="connsiteY20" fmla="*/ 0 h 3132348"/>
              <a:gd name="connsiteX21" fmla="*/ 5360125 w 5472608"/>
              <a:gd name="connsiteY21" fmla="*/ 0 h 3132348"/>
              <a:gd name="connsiteX22" fmla="*/ 5472608 w 5472608"/>
              <a:gd name="connsiteY22" fmla="*/ 112483 h 3132348"/>
              <a:gd name="connsiteX23" fmla="*/ 5472608 w 5472608"/>
              <a:gd name="connsiteY23" fmla="*/ 3019865 h 3132348"/>
              <a:gd name="connsiteX24" fmla="*/ 5360125 w 5472608"/>
              <a:gd name="connsiteY24" fmla="*/ 3132348 h 3132348"/>
              <a:gd name="connsiteX25" fmla="*/ 112483 w 5472608"/>
              <a:gd name="connsiteY25" fmla="*/ 3132348 h 3132348"/>
              <a:gd name="connsiteX26" fmla="*/ 0 w 5472608"/>
              <a:gd name="connsiteY26" fmla="*/ 3019865 h 3132348"/>
              <a:gd name="connsiteX27" fmla="*/ 0 w 5472608"/>
              <a:gd name="connsiteY27" fmla="*/ 112483 h 3132348"/>
              <a:gd name="connsiteX28" fmla="*/ 112483 w 5472608"/>
              <a:gd name="connsiteY28" fmla="*/ 0 h 31323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5472608" h="3132348">
                <a:moveTo>
                  <a:pt x="4661169" y="404056"/>
                </a:moveTo>
                <a:lnTo>
                  <a:pt x="4661169" y="2720536"/>
                </a:lnTo>
                <a:lnTo>
                  <a:pt x="5046931" y="2720536"/>
                </a:lnTo>
                <a:lnTo>
                  <a:pt x="5046931" y="404056"/>
                </a:lnTo>
                <a:close/>
                <a:moveTo>
                  <a:pt x="3602296" y="404056"/>
                </a:moveTo>
                <a:lnTo>
                  <a:pt x="3602296" y="2720536"/>
                </a:lnTo>
                <a:lnTo>
                  <a:pt x="3988058" y="2720536"/>
                </a:lnTo>
                <a:lnTo>
                  <a:pt x="3988058" y="404056"/>
                </a:lnTo>
                <a:close/>
                <a:moveTo>
                  <a:pt x="2543423" y="404056"/>
                </a:moveTo>
                <a:lnTo>
                  <a:pt x="2543423" y="2720536"/>
                </a:lnTo>
                <a:lnTo>
                  <a:pt x="2929185" y="2720536"/>
                </a:lnTo>
                <a:lnTo>
                  <a:pt x="2929185" y="404056"/>
                </a:lnTo>
                <a:close/>
                <a:moveTo>
                  <a:pt x="1484550" y="404056"/>
                </a:moveTo>
                <a:lnTo>
                  <a:pt x="1484550" y="2720536"/>
                </a:lnTo>
                <a:lnTo>
                  <a:pt x="1870312" y="2720536"/>
                </a:lnTo>
                <a:lnTo>
                  <a:pt x="1870312" y="404056"/>
                </a:lnTo>
                <a:close/>
                <a:moveTo>
                  <a:pt x="425677" y="404056"/>
                </a:moveTo>
                <a:lnTo>
                  <a:pt x="425677" y="2720536"/>
                </a:lnTo>
                <a:lnTo>
                  <a:pt x="811439" y="2720536"/>
                </a:lnTo>
                <a:lnTo>
                  <a:pt x="811439" y="404056"/>
                </a:lnTo>
                <a:close/>
                <a:moveTo>
                  <a:pt x="112483" y="0"/>
                </a:moveTo>
                <a:lnTo>
                  <a:pt x="5360125" y="0"/>
                </a:lnTo>
                <a:cubicBezTo>
                  <a:pt x="5422248" y="0"/>
                  <a:pt x="5472608" y="50360"/>
                  <a:pt x="5472608" y="112483"/>
                </a:cubicBezTo>
                <a:lnTo>
                  <a:pt x="5472608" y="3019865"/>
                </a:lnTo>
                <a:cubicBezTo>
                  <a:pt x="5472608" y="3081988"/>
                  <a:pt x="5422248" y="3132348"/>
                  <a:pt x="5360125" y="3132348"/>
                </a:cubicBezTo>
                <a:lnTo>
                  <a:pt x="112483" y="3132348"/>
                </a:lnTo>
                <a:cubicBezTo>
                  <a:pt x="50360" y="3132348"/>
                  <a:pt x="0" y="3081988"/>
                  <a:pt x="0" y="3019865"/>
                </a:cubicBezTo>
                <a:lnTo>
                  <a:pt x="0" y="112483"/>
                </a:lnTo>
                <a:cubicBezTo>
                  <a:pt x="0" y="50360"/>
                  <a:pt x="50360" y="0"/>
                  <a:pt x="112483"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7" name="Полилиния 176">
            <a:extLst>
              <a:ext uri="{FF2B5EF4-FFF2-40B4-BE49-F238E27FC236}">
                <a16:creationId xmlns:a16="http://schemas.microsoft.com/office/drawing/2014/main" id="{8F05610F-C690-466E-B0FC-1D9373163486}"/>
              </a:ext>
            </a:extLst>
          </xdr:cNvPr>
          <xdr:cNvSpPr/>
        </xdr:nvSpPr>
        <xdr:spPr bwMode="auto">
          <a:xfrm>
            <a:off x="3208537" y="3222500"/>
            <a:ext cx="468052" cy="555750"/>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8" name="Полилиния 177">
            <a:extLst>
              <a:ext uri="{FF2B5EF4-FFF2-40B4-BE49-F238E27FC236}">
                <a16:creationId xmlns:a16="http://schemas.microsoft.com/office/drawing/2014/main" id="{D42BFA08-3C4C-4B0C-9C27-0C50A3206134}"/>
              </a:ext>
            </a:extLst>
          </xdr:cNvPr>
          <xdr:cNvSpPr/>
        </xdr:nvSpPr>
        <xdr:spPr bwMode="auto">
          <a:xfrm>
            <a:off x="5318421" y="1714500"/>
            <a:ext cx="799805" cy="822323"/>
          </a:xfrm>
          <a:custGeom>
            <a:avLst/>
            <a:gdLst>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50202 w 799805"/>
              <a:gd name="connsiteY4" fmla="*/ 547127 h 822323"/>
              <a:gd name="connsiteX5" fmla="*/ 166213 w 799805"/>
              <a:gd name="connsiteY5" fmla="*/ 581597 h 822323"/>
              <a:gd name="connsiteX6" fmla="*/ 203067 w 799805"/>
              <a:gd name="connsiteY6" fmla="*/ 617947 h 822323"/>
              <a:gd name="connsiteX7" fmla="*/ 250126 w 799805"/>
              <a:gd name="connsiteY7" fmla="*/ 639512 h 822323"/>
              <a:gd name="connsiteX8" fmla="*/ 288681 w 799805"/>
              <a:gd name="connsiteY8" fmla="*/ 667974 h 822323"/>
              <a:gd name="connsiteX9" fmla="*/ 309612 w 799805"/>
              <a:gd name="connsiteY9" fmla="*/ 691239 h 822323"/>
              <a:gd name="connsiteX10" fmla="*/ 538213 w 799805"/>
              <a:gd name="connsiteY10" fmla="*/ 800387 h 822323"/>
              <a:gd name="connsiteX11" fmla="*/ 493055 w 799805"/>
              <a:gd name="connsiteY11" fmla="*/ 814478 h 822323"/>
              <a:gd name="connsiteX12" fmla="*/ 415630 w 799805"/>
              <a:gd name="connsiteY12" fmla="*/ 822323 h 822323"/>
              <a:gd name="connsiteX13" fmla="*/ 119183 w 799805"/>
              <a:gd name="connsiteY13" fmla="*/ 681797 h 822323"/>
              <a:gd name="connsiteX14" fmla="*/ 75115 w 799805"/>
              <a:gd name="connsiteY14" fmla="*/ 608789 h 822323"/>
              <a:gd name="connsiteX15" fmla="*/ 64394 w 799805"/>
              <a:gd name="connsiteY15" fmla="*/ 609602 h 822323"/>
              <a:gd name="connsiteX16" fmla="*/ 41735 w 799805"/>
              <a:gd name="connsiteY16" fmla="*/ 594106 h 822323"/>
              <a:gd name="connsiteX17" fmla="*/ 39955 w 799805"/>
              <a:gd name="connsiteY17" fmla="*/ 592034 h 822323"/>
              <a:gd name="connsiteX18" fmla="*/ 56749 w 799805"/>
              <a:gd name="connsiteY18" fmla="*/ 555933 h 822323"/>
              <a:gd name="connsiteX19" fmla="*/ 63205 w 799805"/>
              <a:gd name="connsiteY19" fmla="*/ 509588 h 822323"/>
              <a:gd name="connsiteX20" fmla="*/ 13030 w 799805"/>
              <a:gd name="connsiteY20" fmla="*/ 399882 h 822323"/>
              <a:gd name="connsiteX21" fmla="*/ 0 w 799805"/>
              <a:gd name="connsiteY21" fmla="*/ 396069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39955 w 799805"/>
              <a:gd name="connsiteY16" fmla="*/ 592034 h 822323"/>
              <a:gd name="connsiteX17" fmla="*/ 56749 w 799805"/>
              <a:gd name="connsiteY17" fmla="*/ 555933 h 822323"/>
              <a:gd name="connsiteX18" fmla="*/ 63205 w 799805"/>
              <a:gd name="connsiteY18" fmla="*/ 509588 h 822323"/>
              <a:gd name="connsiteX19" fmla="*/ 13030 w 799805"/>
              <a:gd name="connsiteY19" fmla="*/ 399882 h 822323"/>
              <a:gd name="connsiteX20" fmla="*/ 0 w 799805"/>
              <a:gd name="connsiteY20" fmla="*/ 396069 h 822323"/>
              <a:gd name="connsiteX21" fmla="*/ 4863 w 799805"/>
              <a:gd name="connsiteY21" fmla="*/ 390526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38" fmla="*/ 275636 w 799805"/>
              <a:gd name="connsiteY38"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56749 w 799805"/>
              <a:gd name="connsiteY16" fmla="*/ 555933 h 822323"/>
              <a:gd name="connsiteX17" fmla="*/ 63205 w 799805"/>
              <a:gd name="connsiteY17" fmla="*/ 509588 h 822323"/>
              <a:gd name="connsiteX18" fmla="*/ 13030 w 799805"/>
              <a:gd name="connsiteY18" fmla="*/ 399882 h 822323"/>
              <a:gd name="connsiteX19" fmla="*/ 0 w 799805"/>
              <a:gd name="connsiteY19" fmla="*/ 396069 h 822323"/>
              <a:gd name="connsiteX20" fmla="*/ 4863 w 799805"/>
              <a:gd name="connsiteY20" fmla="*/ 390526 h 822323"/>
              <a:gd name="connsiteX21" fmla="*/ 275636 w 799805"/>
              <a:gd name="connsiteY21" fmla="*/ 0 h 822323"/>
              <a:gd name="connsiteX22" fmla="*/ 489448 w 799805"/>
              <a:gd name="connsiteY22" fmla="*/ 0 h 822323"/>
              <a:gd name="connsiteX23" fmla="*/ 489448 w 799805"/>
              <a:gd name="connsiteY23" fmla="*/ 57483 h 822323"/>
              <a:gd name="connsiteX24" fmla="*/ 493055 w 799805"/>
              <a:gd name="connsiteY24" fmla="*/ 57848 h 822323"/>
              <a:gd name="connsiteX25" fmla="*/ 799805 w 799805"/>
              <a:gd name="connsiteY25" fmla="*/ 436163 h 822323"/>
              <a:gd name="connsiteX26" fmla="*/ 769615 w 799805"/>
              <a:gd name="connsiteY26" fmla="*/ 586474 h 822323"/>
              <a:gd name="connsiteX27" fmla="*/ 746479 w 799805"/>
              <a:gd name="connsiteY27" fmla="*/ 629318 h 822323"/>
              <a:gd name="connsiteX28" fmla="*/ 744333 w 799805"/>
              <a:gd name="connsiteY28" fmla="*/ 626933 h 822323"/>
              <a:gd name="connsiteX29" fmla="*/ 538147 w 799805"/>
              <a:gd name="connsiteY29" fmla="*/ 528487 h 822323"/>
              <a:gd name="connsiteX30" fmla="*/ 551291 w 799805"/>
              <a:gd name="connsiteY30" fmla="*/ 505412 h 822323"/>
              <a:gd name="connsiteX31" fmla="*/ 563267 w 799805"/>
              <a:gd name="connsiteY31" fmla="*/ 435192 h 822323"/>
              <a:gd name="connsiteX32" fmla="*/ 470188 w 799805"/>
              <a:gd name="connsiteY32" fmla="*/ 268970 h 822323"/>
              <a:gd name="connsiteX33" fmla="*/ 420393 w 799805"/>
              <a:gd name="connsiteY33" fmla="*/ 257070 h 822323"/>
              <a:gd name="connsiteX34" fmla="*/ 372978 w 799805"/>
              <a:gd name="connsiteY34" fmla="*/ 244024 h 822323"/>
              <a:gd name="connsiteX35" fmla="*/ 291876 w 799805"/>
              <a:gd name="connsiteY35" fmla="*/ 154981 h 822323"/>
              <a:gd name="connsiteX36" fmla="*/ 281664 w 799805"/>
              <a:gd name="connsiteY36" fmla="*/ 99452 h 822323"/>
              <a:gd name="connsiteX37" fmla="*/ 275636 w 799805"/>
              <a:gd name="connsiteY37"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56749 w 799805"/>
              <a:gd name="connsiteY15" fmla="*/ 555933 h 822323"/>
              <a:gd name="connsiteX16" fmla="*/ 63205 w 799805"/>
              <a:gd name="connsiteY16" fmla="*/ 509588 h 822323"/>
              <a:gd name="connsiteX17" fmla="*/ 13030 w 799805"/>
              <a:gd name="connsiteY17" fmla="*/ 399882 h 822323"/>
              <a:gd name="connsiteX18" fmla="*/ 0 w 799805"/>
              <a:gd name="connsiteY18" fmla="*/ 396069 h 822323"/>
              <a:gd name="connsiteX19" fmla="*/ 4863 w 799805"/>
              <a:gd name="connsiteY19" fmla="*/ 390526 h 822323"/>
              <a:gd name="connsiteX20" fmla="*/ 275636 w 799805"/>
              <a:gd name="connsiteY20" fmla="*/ 0 h 822323"/>
              <a:gd name="connsiteX21" fmla="*/ 489448 w 799805"/>
              <a:gd name="connsiteY21" fmla="*/ 0 h 822323"/>
              <a:gd name="connsiteX22" fmla="*/ 489448 w 799805"/>
              <a:gd name="connsiteY22" fmla="*/ 57483 h 822323"/>
              <a:gd name="connsiteX23" fmla="*/ 493055 w 799805"/>
              <a:gd name="connsiteY23" fmla="*/ 57848 h 822323"/>
              <a:gd name="connsiteX24" fmla="*/ 799805 w 799805"/>
              <a:gd name="connsiteY24" fmla="*/ 436163 h 822323"/>
              <a:gd name="connsiteX25" fmla="*/ 769615 w 799805"/>
              <a:gd name="connsiteY25" fmla="*/ 586474 h 822323"/>
              <a:gd name="connsiteX26" fmla="*/ 746479 w 799805"/>
              <a:gd name="connsiteY26" fmla="*/ 629318 h 822323"/>
              <a:gd name="connsiteX27" fmla="*/ 744333 w 799805"/>
              <a:gd name="connsiteY27" fmla="*/ 626933 h 822323"/>
              <a:gd name="connsiteX28" fmla="*/ 538147 w 799805"/>
              <a:gd name="connsiteY28" fmla="*/ 528487 h 822323"/>
              <a:gd name="connsiteX29" fmla="*/ 551291 w 799805"/>
              <a:gd name="connsiteY29" fmla="*/ 505412 h 822323"/>
              <a:gd name="connsiteX30" fmla="*/ 563267 w 799805"/>
              <a:gd name="connsiteY30" fmla="*/ 435192 h 822323"/>
              <a:gd name="connsiteX31" fmla="*/ 470188 w 799805"/>
              <a:gd name="connsiteY31" fmla="*/ 268970 h 822323"/>
              <a:gd name="connsiteX32" fmla="*/ 420393 w 799805"/>
              <a:gd name="connsiteY32" fmla="*/ 257070 h 822323"/>
              <a:gd name="connsiteX33" fmla="*/ 372978 w 799805"/>
              <a:gd name="connsiteY33" fmla="*/ 244024 h 822323"/>
              <a:gd name="connsiteX34" fmla="*/ 291876 w 799805"/>
              <a:gd name="connsiteY34" fmla="*/ 154981 h 822323"/>
              <a:gd name="connsiteX35" fmla="*/ 281664 w 799805"/>
              <a:gd name="connsiteY35" fmla="*/ 99452 h 822323"/>
              <a:gd name="connsiteX36" fmla="*/ 275636 w 799805"/>
              <a:gd name="connsiteY36"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56749 w 799805"/>
              <a:gd name="connsiteY14" fmla="*/ 555933 h 822323"/>
              <a:gd name="connsiteX15" fmla="*/ 63205 w 799805"/>
              <a:gd name="connsiteY15" fmla="*/ 509588 h 822323"/>
              <a:gd name="connsiteX16" fmla="*/ 13030 w 799805"/>
              <a:gd name="connsiteY16" fmla="*/ 399882 h 822323"/>
              <a:gd name="connsiteX17" fmla="*/ 0 w 799805"/>
              <a:gd name="connsiteY17" fmla="*/ 396069 h 822323"/>
              <a:gd name="connsiteX18" fmla="*/ 4863 w 799805"/>
              <a:gd name="connsiteY18" fmla="*/ 390526 h 822323"/>
              <a:gd name="connsiteX19" fmla="*/ 275636 w 799805"/>
              <a:gd name="connsiteY19" fmla="*/ 0 h 822323"/>
              <a:gd name="connsiteX20" fmla="*/ 489448 w 799805"/>
              <a:gd name="connsiteY20" fmla="*/ 0 h 822323"/>
              <a:gd name="connsiteX21" fmla="*/ 489448 w 799805"/>
              <a:gd name="connsiteY21" fmla="*/ 57483 h 822323"/>
              <a:gd name="connsiteX22" fmla="*/ 493055 w 799805"/>
              <a:gd name="connsiteY22" fmla="*/ 57848 h 822323"/>
              <a:gd name="connsiteX23" fmla="*/ 799805 w 799805"/>
              <a:gd name="connsiteY23" fmla="*/ 436163 h 822323"/>
              <a:gd name="connsiteX24" fmla="*/ 769615 w 799805"/>
              <a:gd name="connsiteY24" fmla="*/ 586474 h 822323"/>
              <a:gd name="connsiteX25" fmla="*/ 746479 w 799805"/>
              <a:gd name="connsiteY25" fmla="*/ 629318 h 822323"/>
              <a:gd name="connsiteX26" fmla="*/ 744333 w 799805"/>
              <a:gd name="connsiteY26" fmla="*/ 626933 h 822323"/>
              <a:gd name="connsiteX27" fmla="*/ 538147 w 799805"/>
              <a:gd name="connsiteY27" fmla="*/ 528487 h 822323"/>
              <a:gd name="connsiteX28" fmla="*/ 551291 w 799805"/>
              <a:gd name="connsiteY28" fmla="*/ 505412 h 822323"/>
              <a:gd name="connsiteX29" fmla="*/ 563267 w 799805"/>
              <a:gd name="connsiteY29" fmla="*/ 435192 h 822323"/>
              <a:gd name="connsiteX30" fmla="*/ 470188 w 799805"/>
              <a:gd name="connsiteY30" fmla="*/ 268970 h 822323"/>
              <a:gd name="connsiteX31" fmla="*/ 420393 w 799805"/>
              <a:gd name="connsiteY31" fmla="*/ 257070 h 822323"/>
              <a:gd name="connsiteX32" fmla="*/ 372978 w 799805"/>
              <a:gd name="connsiteY32" fmla="*/ 244024 h 822323"/>
              <a:gd name="connsiteX33" fmla="*/ 291876 w 799805"/>
              <a:gd name="connsiteY33" fmla="*/ 154981 h 822323"/>
              <a:gd name="connsiteX34" fmla="*/ 281664 w 799805"/>
              <a:gd name="connsiteY34" fmla="*/ 99452 h 822323"/>
              <a:gd name="connsiteX35" fmla="*/ 275636 w 799805"/>
              <a:gd name="connsiteY35"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3205 w 799805"/>
              <a:gd name="connsiteY14" fmla="*/ 509588 h 822323"/>
              <a:gd name="connsiteX15" fmla="*/ 13030 w 799805"/>
              <a:gd name="connsiteY15" fmla="*/ 399882 h 822323"/>
              <a:gd name="connsiteX16" fmla="*/ 0 w 799805"/>
              <a:gd name="connsiteY16" fmla="*/ 396069 h 822323"/>
              <a:gd name="connsiteX17" fmla="*/ 4863 w 799805"/>
              <a:gd name="connsiteY17" fmla="*/ 390526 h 822323"/>
              <a:gd name="connsiteX18" fmla="*/ 275636 w 799805"/>
              <a:gd name="connsiteY18" fmla="*/ 0 h 822323"/>
              <a:gd name="connsiteX19" fmla="*/ 489448 w 799805"/>
              <a:gd name="connsiteY19" fmla="*/ 0 h 822323"/>
              <a:gd name="connsiteX20" fmla="*/ 489448 w 799805"/>
              <a:gd name="connsiteY20" fmla="*/ 57483 h 822323"/>
              <a:gd name="connsiteX21" fmla="*/ 493055 w 799805"/>
              <a:gd name="connsiteY21" fmla="*/ 57848 h 822323"/>
              <a:gd name="connsiteX22" fmla="*/ 799805 w 799805"/>
              <a:gd name="connsiteY22" fmla="*/ 436163 h 822323"/>
              <a:gd name="connsiteX23" fmla="*/ 769615 w 799805"/>
              <a:gd name="connsiteY23" fmla="*/ 586474 h 822323"/>
              <a:gd name="connsiteX24" fmla="*/ 746479 w 799805"/>
              <a:gd name="connsiteY24" fmla="*/ 629318 h 822323"/>
              <a:gd name="connsiteX25" fmla="*/ 744333 w 799805"/>
              <a:gd name="connsiteY25" fmla="*/ 626933 h 822323"/>
              <a:gd name="connsiteX26" fmla="*/ 538147 w 799805"/>
              <a:gd name="connsiteY26" fmla="*/ 528487 h 822323"/>
              <a:gd name="connsiteX27" fmla="*/ 551291 w 799805"/>
              <a:gd name="connsiteY27" fmla="*/ 505412 h 822323"/>
              <a:gd name="connsiteX28" fmla="*/ 563267 w 799805"/>
              <a:gd name="connsiteY28" fmla="*/ 435192 h 822323"/>
              <a:gd name="connsiteX29" fmla="*/ 470188 w 799805"/>
              <a:gd name="connsiteY29" fmla="*/ 268970 h 822323"/>
              <a:gd name="connsiteX30" fmla="*/ 420393 w 799805"/>
              <a:gd name="connsiteY30" fmla="*/ 257070 h 822323"/>
              <a:gd name="connsiteX31" fmla="*/ 372978 w 799805"/>
              <a:gd name="connsiteY31" fmla="*/ 244024 h 822323"/>
              <a:gd name="connsiteX32" fmla="*/ 291876 w 799805"/>
              <a:gd name="connsiteY32" fmla="*/ 154981 h 822323"/>
              <a:gd name="connsiteX33" fmla="*/ 281664 w 799805"/>
              <a:gd name="connsiteY33" fmla="*/ 99452 h 822323"/>
              <a:gd name="connsiteX34" fmla="*/ 275636 w 799805"/>
              <a:gd name="connsiteY34"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75115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0824 w 799805"/>
              <a:gd name="connsiteY13" fmla="*/ 473870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Lst>
            <a:rect l="l" t="t" r="r" b="b"/>
            <a:pathLst>
              <a:path w="799805" h="822323">
                <a:moveTo>
                  <a:pt x="4863" y="390526"/>
                </a:moveTo>
                <a:cubicBezTo>
                  <a:pt x="24707" y="382985"/>
                  <a:pt x="78482" y="428720"/>
                  <a:pt x="101303" y="454820"/>
                </a:cubicBezTo>
                <a:cubicBezTo>
                  <a:pt x="124124" y="480920"/>
                  <a:pt x="130972" y="525998"/>
                  <a:pt x="141790" y="547127"/>
                </a:cubicBezTo>
                <a:lnTo>
                  <a:pt x="166213" y="581597"/>
                </a:lnTo>
                <a:cubicBezTo>
                  <a:pt x="175823" y="595258"/>
                  <a:pt x="188185" y="607675"/>
                  <a:pt x="203067" y="617947"/>
                </a:cubicBezTo>
                <a:cubicBezTo>
                  <a:pt x="217950" y="628218"/>
                  <a:pt x="233945" y="635371"/>
                  <a:pt x="250126" y="639512"/>
                </a:cubicBezTo>
                <a:lnTo>
                  <a:pt x="288681" y="667974"/>
                </a:lnTo>
                <a:cubicBezTo>
                  <a:pt x="292170" y="677840"/>
                  <a:pt x="299423" y="686374"/>
                  <a:pt x="309612" y="691239"/>
                </a:cubicBezTo>
                <a:lnTo>
                  <a:pt x="538213" y="800387"/>
                </a:lnTo>
                <a:lnTo>
                  <a:pt x="493055" y="814478"/>
                </a:lnTo>
                <a:cubicBezTo>
                  <a:pt x="468046" y="819622"/>
                  <a:pt x="442152" y="822323"/>
                  <a:pt x="415630" y="822323"/>
                </a:cubicBezTo>
                <a:cubicBezTo>
                  <a:pt x="296283" y="822323"/>
                  <a:pt x="189646" y="767619"/>
                  <a:pt x="119183" y="681797"/>
                </a:cubicBezTo>
                <a:lnTo>
                  <a:pt x="84640" y="608789"/>
                </a:lnTo>
                <a:cubicBezTo>
                  <a:pt x="77495" y="575722"/>
                  <a:pt x="72759" y="508688"/>
                  <a:pt x="60824" y="473870"/>
                </a:cubicBezTo>
                <a:cubicBezTo>
                  <a:pt x="48889" y="439052"/>
                  <a:pt x="42516" y="417956"/>
                  <a:pt x="13030" y="399882"/>
                </a:cubicBezTo>
                <a:lnTo>
                  <a:pt x="0" y="396069"/>
                </a:lnTo>
                <a:lnTo>
                  <a:pt x="4863" y="390526"/>
                </a:lnTo>
                <a:close/>
                <a:moveTo>
                  <a:pt x="275636" y="0"/>
                </a:moveTo>
                <a:lnTo>
                  <a:pt x="489448" y="0"/>
                </a:lnTo>
                <a:lnTo>
                  <a:pt x="489448" y="57483"/>
                </a:lnTo>
                <a:lnTo>
                  <a:pt x="493055" y="57848"/>
                </a:lnTo>
                <a:cubicBezTo>
                  <a:pt x="668117" y="93857"/>
                  <a:pt x="799805" y="249552"/>
                  <a:pt x="799805" y="436163"/>
                </a:cubicBezTo>
                <a:cubicBezTo>
                  <a:pt x="799805" y="489481"/>
                  <a:pt x="789055" y="540274"/>
                  <a:pt x="769615" y="586474"/>
                </a:cubicBezTo>
                <a:lnTo>
                  <a:pt x="746479" y="629318"/>
                </a:lnTo>
                <a:lnTo>
                  <a:pt x="744333" y="626933"/>
                </a:lnTo>
                <a:lnTo>
                  <a:pt x="538147" y="528487"/>
                </a:lnTo>
                <a:lnTo>
                  <a:pt x="551291" y="505412"/>
                </a:lnTo>
                <a:cubicBezTo>
                  <a:pt x="559003" y="483829"/>
                  <a:pt x="563267" y="460100"/>
                  <a:pt x="563267" y="435192"/>
                </a:cubicBezTo>
                <a:cubicBezTo>
                  <a:pt x="563267" y="360468"/>
                  <a:pt x="524887" y="296356"/>
                  <a:pt x="470188" y="268970"/>
                </a:cubicBezTo>
                <a:lnTo>
                  <a:pt x="420393" y="257070"/>
                </a:lnTo>
                <a:lnTo>
                  <a:pt x="372978" y="244024"/>
                </a:lnTo>
                <a:cubicBezTo>
                  <a:pt x="336513" y="227090"/>
                  <a:pt x="307299" y="195017"/>
                  <a:pt x="291876" y="154981"/>
                </a:cubicBezTo>
                <a:lnTo>
                  <a:pt x="281664" y="99452"/>
                </a:lnTo>
                <a:lnTo>
                  <a:pt x="275636" y="0"/>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9" name="Полилиния 178">
            <a:extLst>
              <a:ext uri="{FF2B5EF4-FFF2-40B4-BE49-F238E27FC236}">
                <a16:creationId xmlns:a16="http://schemas.microsoft.com/office/drawing/2014/main" id="{14A23E7F-4DE3-4BC2-ACB0-E753EB25C397}"/>
              </a:ext>
            </a:extLst>
          </xdr:cNvPr>
          <xdr:cNvSpPr/>
        </xdr:nvSpPr>
        <xdr:spPr bwMode="auto">
          <a:xfrm flipH="1">
            <a:off x="5290642" y="652460"/>
            <a:ext cx="810205" cy="1013180"/>
          </a:xfrm>
          <a:custGeom>
            <a:avLst/>
            <a:gdLst>
              <a:gd name="connsiteX0" fmla="*/ 171535 w 810205"/>
              <a:gd name="connsiteY0" fmla="*/ 207172 h 1013180"/>
              <a:gd name="connsiteX1" fmla="*/ 700173 w 810205"/>
              <a:gd name="connsiteY1" fmla="*/ 514353 h 1013180"/>
              <a:gd name="connsiteX2" fmla="*/ 645404 w 810205"/>
              <a:gd name="connsiteY2" fmla="*/ 689945 h 1013180"/>
              <a:gd name="connsiteX3" fmla="*/ 550243 w 810205"/>
              <a:gd name="connsiteY3" fmla="*/ 635750 h 1013180"/>
              <a:gd name="connsiteX4" fmla="*/ 541515 w 810205"/>
              <a:gd name="connsiteY4" fmla="*/ 678979 h 1013180"/>
              <a:gd name="connsiteX5" fmla="*/ 464104 w 810205"/>
              <a:gd name="connsiteY5" fmla="*/ 756390 h 1013180"/>
              <a:gd name="connsiteX6" fmla="*/ 446248 w 810205"/>
              <a:gd name="connsiteY6" fmla="*/ 759995 h 1013180"/>
              <a:gd name="connsiteX7" fmla="*/ 550154 w 810205"/>
              <a:gd name="connsiteY7" fmla="*/ 819644 h 1013180"/>
              <a:gd name="connsiteX8" fmla="*/ 210334 w 810205"/>
              <a:gd name="connsiteY8" fmla="*/ 819644 h 1013180"/>
              <a:gd name="connsiteX9" fmla="*/ 139500 w 810205"/>
              <a:gd name="connsiteY9" fmla="*/ 583902 h 1013180"/>
              <a:gd name="connsiteX10" fmla="*/ 269302 w 810205"/>
              <a:gd name="connsiteY10" fmla="*/ 658417 h 1013180"/>
              <a:gd name="connsiteX11" fmla="*/ 262022 w 810205"/>
              <a:gd name="connsiteY11" fmla="*/ 622359 h 1013180"/>
              <a:gd name="connsiteX12" fmla="*/ 304627 w 810205"/>
              <a:gd name="connsiteY12" fmla="*/ 519502 h 1013180"/>
              <a:gd name="connsiteX13" fmla="*/ 323628 w 810205"/>
              <a:gd name="connsiteY13" fmla="*/ 506692 h 1013180"/>
              <a:gd name="connsiteX14" fmla="*/ 114385 w 810205"/>
              <a:gd name="connsiteY14" fmla="*/ 387527 h 1013180"/>
              <a:gd name="connsiteX15" fmla="*/ 596002 w 810205"/>
              <a:gd name="connsiteY15" fmla="*/ 85728 h 1013180"/>
              <a:gd name="connsiteX16" fmla="*/ 666836 w 810205"/>
              <a:gd name="connsiteY16" fmla="*/ 321470 h 1013180"/>
              <a:gd name="connsiteX17" fmla="*/ 256182 w 810205"/>
              <a:gd name="connsiteY17" fmla="*/ 85728 h 1013180"/>
              <a:gd name="connsiteX18" fmla="*/ 635245 w 810205"/>
              <a:gd name="connsiteY18" fmla="*/ 0 h 1013180"/>
              <a:gd name="connsiteX19" fmla="*/ 348158 w 810205"/>
              <a:gd name="connsiteY19" fmla="*/ 0 h 1013180"/>
              <a:gd name="connsiteX20" fmla="*/ 348158 w 810205"/>
              <a:gd name="connsiteY20" fmla="*/ 1 h 1013180"/>
              <a:gd name="connsiteX21" fmla="*/ 174960 w 810205"/>
              <a:gd name="connsiteY21" fmla="*/ 1 h 1013180"/>
              <a:gd name="connsiteX22" fmla="*/ 121340 w 810205"/>
              <a:gd name="connsiteY22" fmla="*/ 35543 h 1013180"/>
              <a:gd name="connsiteX23" fmla="*/ 12389 w 810205"/>
              <a:gd name="connsiteY23" fmla="*/ 397314 h 1013180"/>
              <a:gd name="connsiteX24" fmla="*/ 3097 w 810205"/>
              <a:gd name="connsiteY24" fmla="*/ 493302 h 1013180"/>
              <a:gd name="connsiteX25" fmla="*/ 5385 w 810205"/>
              <a:gd name="connsiteY25" fmla="*/ 499826 h 1013180"/>
              <a:gd name="connsiteX26" fmla="*/ 4762 w 810205"/>
              <a:gd name="connsiteY26" fmla="*/ 500028 h 1013180"/>
              <a:gd name="connsiteX27" fmla="*/ 149024 w 810205"/>
              <a:gd name="connsiteY27" fmla="*/ 950004 h 1013180"/>
              <a:gd name="connsiteX28" fmla="*/ 244335 w 810205"/>
              <a:gd name="connsiteY28" fmla="*/ 1013180 h 1013180"/>
              <a:gd name="connsiteX29" fmla="*/ 462047 w 810205"/>
              <a:gd name="connsiteY29" fmla="*/ 1013180 h 1013180"/>
              <a:gd name="connsiteX30" fmla="*/ 462047 w 810205"/>
              <a:gd name="connsiteY30" fmla="*/ 1013179 h 1013180"/>
              <a:gd name="connsiteX31" fmla="*/ 565870 w 810205"/>
              <a:gd name="connsiteY31" fmla="*/ 1013179 h 1013180"/>
              <a:gd name="connsiteX32" fmla="*/ 661181 w 810205"/>
              <a:gd name="connsiteY32" fmla="*/ 950003 h 1013180"/>
              <a:gd name="connsiteX33" fmla="*/ 805443 w 810205"/>
              <a:gd name="connsiteY33" fmla="*/ 500027 h 1013180"/>
              <a:gd name="connsiteX34" fmla="*/ 804820 w 810205"/>
              <a:gd name="connsiteY34" fmla="*/ 499825 h 1013180"/>
              <a:gd name="connsiteX35" fmla="*/ 807108 w 810205"/>
              <a:gd name="connsiteY35" fmla="*/ 493301 h 1013180"/>
              <a:gd name="connsiteX36" fmla="*/ 797816 w 810205"/>
              <a:gd name="connsiteY36" fmla="*/ 397313 h 1013180"/>
              <a:gd name="connsiteX37" fmla="*/ 688865 w 810205"/>
              <a:gd name="connsiteY37" fmla="*/ 35542 h 1013180"/>
              <a:gd name="connsiteX38" fmla="*/ 635245 w 810205"/>
              <a:gd name="connsiteY38" fmla="*/ 0 h 10131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810205" h="1013180">
                <a:moveTo>
                  <a:pt x="171535" y="207172"/>
                </a:moveTo>
                <a:lnTo>
                  <a:pt x="700173" y="514353"/>
                </a:lnTo>
                <a:lnTo>
                  <a:pt x="645404" y="689945"/>
                </a:lnTo>
                <a:lnTo>
                  <a:pt x="550243" y="635750"/>
                </a:lnTo>
                <a:lnTo>
                  <a:pt x="541515" y="678979"/>
                </a:lnTo>
                <a:cubicBezTo>
                  <a:pt x="526793" y="713785"/>
                  <a:pt x="498910" y="741668"/>
                  <a:pt x="464104" y="756390"/>
                </a:cubicBezTo>
                <a:lnTo>
                  <a:pt x="446248" y="759995"/>
                </a:lnTo>
                <a:lnTo>
                  <a:pt x="550154" y="819644"/>
                </a:lnTo>
                <a:lnTo>
                  <a:pt x="210334" y="819644"/>
                </a:lnTo>
                <a:lnTo>
                  <a:pt x="139500" y="583902"/>
                </a:lnTo>
                <a:lnTo>
                  <a:pt x="269302" y="658417"/>
                </a:lnTo>
                <a:lnTo>
                  <a:pt x="262022" y="622359"/>
                </a:lnTo>
                <a:cubicBezTo>
                  <a:pt x="262022" y="582191"/>
                  <a:pt x="278304" y="545826"/>
                  <a:pt x="304627" y="519502"/>
                </a:cubicBezTo>
                <a:lnTo>
                  <a:pt x="323628" y="506692"/>
                </a:lnTo>
                <a:lnTo>
                  <a:pt x="114385" y="387527"/>
                </a:lnTo>
                <a:close/>
                <a:moveTo>
                  <a:pt x="596002" y="85728"/>
                </a:moveTo>
                <a:lnTo>
                  <a:pt x="666836" y="321470"/>
                </a:lnTo>
                <a:lnTo>
                  <a:pt x="256182" y="85728"/>
                </a:lnTo>
                <a:close/>
                <a:moveTo>
                  <a:pt x="635245" y="0"/>
                </a:moveTo>
                <a:lnTo>
                  <a:pt x="348158" y="0"/>
                </a:lnTo>
                <a:lnTo>
                  <a:pt x="348158" y="1"/>
                </a:lnTo>
                <a:lnTo>
                  <a:pt x="174960" y="1"/>
                </a:lnTo>
                <a:cubicBezTo>
                  <a:pt x="150855" y="1"/>
                  <a:pt x="130174" y="14656"/>
                  <a:pt x="121340" y="35543"/>
                </a:cubicBezTo>
                <a:lnTo>
                  <a:pt x="12389" y="397314"/>
                </a:lnTo>
                <a:cubicBezTo>
                  <a:pt x="-1" y="427867"/>
                  <a:pt x="-3098" y="461306"/>
                  <a:pt x="3097" y="493302"/>
                </a:cubicBezTo>
                <a:lnTo>
                  <a:pt x="5385" y="499826"/>
                </a:lnTo>
                <a:lnTo>
                  <a:pt x="4762" y="500028"/>
                </a:lnTo>
                <a:lnTo>
                  <a:pt x="149024" y="950004"/>
                </a:lnTo>
                <a:cubicBezTo>
                  <a:pt x="164727" y="987130"/>
                  <a:pt x="201489" y="1013180"/>
                  <a:pt x="244335" y="1013180"/>
                </a:cubicBezTo>
                <a:lnTo>
                  <a:pt x="462047" y="1013180"/>
                </a:lnTo>
                <a:lnTo>
                  <a:pt x="462047" y="1013179"/>
                </a:lnTo>
                <a:lnTo>
                  <a:pt x="565870" y="1013179"/>
                </a:lnTo>
                <a:cubicBezTo>
                  <a:pt x="608716" y="1013179"/>
                  <a:pt x="645478" y="987129"/>
                  <a:pt x="661181" y="950003"/>
                </a:cubicBezTo>
                <a:lnTo>
                  <a:pt x="805443" y="500027"/>
                </a:lnTo>
                <a:lnTo>
                  <a:pt x="804820" y="499825"/>
                </a:lnTo>
                <a:lnTo>
                  <a:pt x="807108" y="493301"/>
                </a:lnTo>
                <a:cubicBezTo>
                  <a:pt x="813303" y="461305"/>
                  <a:pt x="810206" y="427866"/>
                  <a:pt x="797816" y="397313"/>
                </a:cubicBezTo>
                <a:lnTo>
                  <a:pt x="688865" y="35542"/>
                </a:lnTo>
                <a:cubicBezTo>
                  <a:pt x="680031" y="14655"/>
                  <a:pt x="659350" y="0"/>
                  <a:pt x="635245"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80" name="Овал 179">
            <a:extLst>
              <a:ext uri="{FF2B5EF4-FFF2-40B4-BE49-F238E27FC236}">
                <a16:creationId xmlns:a16="http://schemas.microsoft.com/office/drawing/2014/main" id="{22CC8279-CAF9-4A36-B30B-3010A330D241}"/>
              </a:ext>
            </a:extLst>
          </xdr:cNvPr>
          <xdr:cNvSpPr/>
        </xdr:nvSpPr>
        <xdr:spPr bwMode="auto">
          <a:xfrm>
            <a:off x="5599688" y="1181144"/>
            <a:ext cx="187350" cy="187350"/>
          </a:xfrm>
          <a:prstGeom prst="ellipse">
            <a:avLst/>
          </a:pr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81" name="Полилиния 180">
            <a:extLst>
              <a:ext uri="{FF2B5EF4-FFF2-40B4-BE49-F238E27FC236}">
                <a16:creationId xmlns:a16="http://schemas.microsoft.com/office/drawing/2014/main" id="{32697A4D-9A27-4D9B-8C85-87469988C516}"/>
              </a:ext>
            </a:extLst>
          </xdr:cNvPr>
          <xdr:cNvSpPr/>
        </xdr:nvSpPr>
        <xdr:spPr bwMode="auto">
          <a:xfrm>
            <a:off x="5288261" y="203673"/>
            <a:ext cx="105271" cy="708445"/>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82" name="Полилиния 181">
            <a:extLst>
              <a:ext uri="{FF2B5EF4-FFF2-40B4-BE49-F238E27FC236}">
                <a16:creationId xmlns:a16="http://schemas.microsoft.com/office/drawing/2014/main" id="{4E23C85B-5A3A-4A79-AD8F-860B7714C860}"/>
              </a:ext>
            </a:extLst>
          </xdr:cNvPr>
          <xdr:cNvSpPr/>
        </xdr:nvSpPr>
        <xdr:spPr bwMode="auto">
          <a:xfrm flipH="1">
            <a:off x="5995576" y="203672"/>
            <a:ext cx="105271" cy="708445"/>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83" name="Полилиния 182">
            <a:extLst>
              <a:ext uri="{FF2B5EF4-FFF2-40B4-BE49-F238E27FC236}">
                <a16:creationId xmlns:a16="http://schemas.microsoft.com/office/drawing/2014/main" id="{B8A3E2CA-2C2C-4E0F-9B58-01F7E9BF8CF3}"/>
              </a:ext>
            </a:extLst>
          </xdr:cNvPr>
          <xdr:cNvSpPr/>
        </xdr:nvSpPr>
        <xdr:spPr bwMode="auto">
          <a:xfrm flipH="1">
            <a:off x="7717037" y="3228341"/>
            <a:ext cx="468052" cy="555750"/>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84" name="Скругленный прямоугольник 183">
            <a:extLst>
              <a:ext uri="{FF2B5EF4-FFF2-40B4-BE49-F238E27FC236}">
                <a16:creationId xmlns:a16="http://schemas.microsoft.com/office/drawing/2014/main" id="{D1B45D2D-7F15-4F02-B153-EEABDC9C4476}"/>
              </a:ext>
            </a:extLst>
          </xdr:cNvPr>
          <xdr:cNvSpPr/>
        </xdr:nvSpPr>
        <xdr:spPr bwMode="auto">
          <a:xfrm rot="1632461">
            <a:off x="5463821" y="2799422"/>
            <a:ext cx="2691975" cy="146470"/>
          </a:xfrm>
          <a:prstGeom prst="roundRect">
            <a:avLst>
              <a:gd name="adj" fmla="val 50000"/>
            </a:avLst>
          </a:pr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85" name="Полилиния 184">
            <a:extLst>
              <a:ext uri="{FF2B5EF4-FFF2-40B4-BE49-F238E27FC236}">
                <a16:creationId xmlns:a16="http://schemas.microsoft.com/office/drawing/2014/main" id="{58D9EDB5-C2B3-4519-AE0C-3F7AB3CBC9E6}"/>
              </a:ext>
            </a:extLst>
          </xdr:cNvPr>
          <xdr:cNvSpPr/>
        </xdr:nvSpPr>
        <xdr:spPr bwMode="auto">
          <a:xfrm rot="19967539" flipH="1">
            <a:off x="3254927" y="2881156"/>
            <a:ext cx="2334449" cy="146470"/>
          </a:xfrm>
          <a:custGeom>
            <a:avLst/>
            <a:gdLst>
              <a:gd name="connsiteX0" fmla="*/ 31382 w 2334449"/>
              <a:gd name="connsiteY0" fmla="*/ 0 h 146470"/>
              <a:gd name="connsiteX1" fmla="*/ 40778 w 2334449"/>
              <a:gd name="connsiteY1" fmla="*/ 40581 h 146470"/>
              <a:gd name="connsiteX2" fmla="*/ 24740 w 2334449"/>
              <a:gd name="connsiteY2" fmla="*/ 110427 h 146470"/>
              <a:gd name="connsiteX3" fmla="*/ 0 w 2334449"/>
              <a:gd name="connsiteY3" fmla="*/ 146470 h 146470"/>
              <a:gd name="connsiteX4" fmla="*/ 2261214 w 2334449"/>
              <a:gd name="connsiteY4" fmla="*/ 146470 h 146470"/>
              <a:gd name="connsiteX5" fmla="*/ 2334449 w 2334449"/>
              <a:gd name="connsiteY5" fmla="*/ 73235 h 146470"/>
              <a:gd name="connsiteX6" fmla="*/ 2261214 w 2334449"/>
              <a:gd name="connsiteY6" fmla="*/ 0 h 146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334449" h="146470">
                <a:moveTo>
                  <a:pt x="31382" y="0"/>
                </a:moveTo>
                <a:lnTo>
                  <a:pt x="40778" y="40581"/>
                </a:lnTo>
                <a:cubicBezTo>
                  <a:pt x="40505" y="63907"/>
                  <a:pt x="34956" y="87639"/>
                  <a:pt x="24740" y="110427"/>
                </a:cubicBezTo>
                <a:lnTo>
                  <a:pt x="0" y="146470"/>
                </a:lnTo>
                <a:lnTo>
                  <a:pt x="2261214" y="146470"/>
                </a:lnTo>
                <a:cubicBezTo>
                  <a:pt x="2301661" y="146470"/>
                  <a:pt x="2334449" y="113682"/>
                  <a:pt x="2334449" y="73235"/>
                </a:cubicBezTo>
                <a:cubicBezTo>
                  <a:pt x="2334449" y="32788"/>
                  <a:pt x="2301661" y="0"/>
                  <a:pt x="2261214"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2199828</xdr:colOff>
      <xdr:row>5</xdr:row>
      <xdr:rowOff>90364</xdr:rowOff>
    </xdr:from>
    <xdr:to>
      <xdr:col>1</xdr:col>
      <xdr:colOff>2199828</xdr:colOff>
      <xdr:row>25</xdr:row>
      <xdr:rowOff>129309</xdr:rowOff>
    </xdr:to>
    <xdr:cxnSp macro="">
      <xdr:nvCxnSpPr>
        <xdr:cNvPr id="90" name="Прямая соединительная линия 89">
          <a:extLst>
            <a:ext uri="{FF2B5EF4-FFF2-40B4-BE49-F238E27FC236}">
              <a16:creationId xmlns:a16="http://schemas.microsoft.com/office/drawing/2014/main" id="{C740D5D0-D740-4C68-B031-0183D7E63A3B}"/>
            </a:ext>
          </a:extLst>
        </xdr:cNvPr>
        <xdr:cNvCxnSpPr>
          <a:cxnSpLocks/>
        </xdr:cNvCxnSpPr>
      </xdr:nvCxnSpPr>
      <xdr:spPr>
        <a:xfrm>
          <a:off x="2634168" y="1004764"/>
          <a:ext cx="0" cy="3696545"/>
        </a:xfrm>
        <a:prstGeom prst="line">
          <a:avLst/>
        </a:prstGeom>
        <a:ln>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2201447</xdr:colOff>
      <xdr:row>5</xdr:row>
      <xdr:rowOff>90364</xdr:rowOff>
    </xdr:from>
    <xdr:to>
      <xdr:col>2</xdr:col>
      <xdr:colOff>2201447</xdr:colOff>
      <xdr:row>25</xdr:row>
      <xdr:rowOff>129309</xdr:rowOff>
    </xdr:to>
    <xdr:cxnSp macro="">
      <xdr:nvCxnSpPr>
        <xdr:cNvPr id="91" name="Прямая соединительная линия 90">
          <a:extLst>
            <a:ext uri="{FF2B5EF4-FFF2-40B4-BE49-F238E27FC236}">
              <a16:creationId xmlns:a16="http://schemas.microsoft.com/office/drawing/2014/main" id="{E492DAA9-B0FD-4B1C-96C9-A158304607D8}"/>
            </a:ext>
          </a:extLst>
        </xdr:cNvPr>
        <xdr:cNvCxnSpPr>
          <a:cxnSpLocks/>
        </xdr:cNvCxnSpPr>
      </xdr:nvCxnSpPr>
      <xdr:spPr>
        <a:xfrm>
          <a:off x="4937027" y="1004764"/>
          <a:ext cx="0" cy="3696545"/>
        </a:xfrm>
        <a:prstGeom prst="line">
          <a:avLst/>
        </a:prstGeom>
        <a:ln>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2203067</xdr:colOff>
      <xdr:row>5</xdr:row>
      <xdr:rowOff>90364</xdr:rowOff>
    </xdr:from>
    <xdr:to>
      <xdr:col>3</xdr:col>
      <xdr:colOff>2203067</xdr:colOff>
      <xdr:row>25</xdr:row>
      <xdr:rowOff>129309</xdr:rowOff>
    </xdr:to>
    <xdr:cxnSp macro="">
      <xdr:nvCxnSpPr>
        <xdr:cNvPr id="92" name="Прямая соединительная линия 91">
          <a:extLst>
            <a:ext uri="{FF2B5EF4-FFF2-40B4-BE49-F238E27FC236}">
              <a16:creationId xmlns:a16="http://schemas.microsoft.com/office/drawing/2014/main" id="{4290F580-1797-49FB-89E8-F62E5F1E1220}"/>
            </a:ext>
          </a:extLst>
        </xdr:cNvPr>
        <xdr:cNvCxnSpPr>
          <a:cxnSpLocks/>
        </xdr:cNvCxnSpPr>
      </xdr:nvCxnSpPr>
      <xdr:spPr>
        <a:xfrm>
          <a:off x="7239887" y="1004764"/>
          <a:ext cx="0" cy="3696545"/>
        </a:xfrm>
        <a:prstGeom prst="line">
          <a:avLst/>
        </a:prstGeom>
        <a:ln>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2204685</xdr:colOff>
      <xdr:row>5</xdr:row>
      <xdr:rowOff>90364</xdr:rowOff>
    </xdr:from>
    <xdr:to>
      <xdr:col>4</xdr:col>
      <xdr:colOff>2204685</xdr:colOff>
      <xdr:row>25</xdr:row>
      <xdr:rowOff>129309</xdr:rowOff>
    </xdr:to>
    <xdr:cxnSp macro="">
      <xdr:nvCxnSpPr>
        <xdr:cNvPr id="93" name="Прямая соединительная линия 92">
          <a:extLst>
            <a:ext uri="{FF2B5EF4-FFF2-40B4-BE49-F238E27FC236}">
              <a16:creationId xmlns:a16="http://schemas.microsoft.com/office/drawing/2014/main" id="{2E269120-6D7B-44E4-B676-6CF9F021C2BD}"/>
            </a:ext>
          </a:extLst>
        </xdr:cNvPr>
        <xdr:cNvCxnSpPr>
          <a:cxnSpLocks/>
        </xdr:cNvCxnSpPr>
      </xdr:nvCxnSpPr>
      <xdr:spPr>
        <a:xfrm>
          <a:off x="9542745" y="1004764"/>
          <a:ext cx="0" cy="3696545"/>
        </a:xfrm>
        <a:prstGeom prst="line">
          <a:avLst/>
        </a:prstGeom>
        <a:ln>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403860</xdr:colOff>
      <xdr:row>26</xdr:row>
      <xdr:rowOff>53056</xdr:rowOff>
    </xdr:from>
    <xdr:to>
      <xdr:col>5</xdr:col>
      <xdr:colOff>2130654</xdr:colOff>
      <xdr:row>28</xdr:row>
      <xdr:rowOff>121705</xdr:rowOff>
    </xdr:to>
    <xdr:sp macro="" textlink="">
      <xdr:nvSpPr>
        <xdr:cNvPr id="94" name="Прямоугольник 93">
          <a:extLst>
            <a:ext uri="{FF2B5EF4-FFF2-40B4-BE49-F238E27FC236}">
              <a16:creationId xmlns:a16="http://schemas.microsoft.com/office/drawing/2014/main" id="{E3495E3D-EE4C-4874-9105-88D995506BDA}"/>
            </a:ext>
          </a:extLst>
        </xdr:cNvPr>
        <xdr:cNvSpPr/>
      </xdr:nvSpPr>
      <xdr:spPr bwMode="auto">
        <a:xfrm>
          <a:off x="403860" y="4807936"/>
          <a:ext cx="11366094" cy="43440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Event and Security Incident Management</a:t>
          </a:r>
          <a:endParaRPr lang="ru-RU" sz="120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1</xdr:col>
      <xdr:colOff>2273333</xdr:colOff>
      <xdr:row>23</xdr:row>
      <xdr:rowOff>57902</xdr:rowOff>
    </xdr:from>
    <xdr:to>
      <xdr:col>2</xdr:col>
      <xdr:colOff>2125641</xdr:colOff>
      <xdr:row>25</xdr:row>
      <xdr:rowOff>129201</xdr:rowOff>
    </xdr:to>
    <xdr:sp macro="" textlink="">
      <xdr:nvSpPr>
        <xdr:cNvPr id="95" name="Прямоугольник 94">
          <a:extLst>
            <a:ext uri="{FF2B5EF4-FFF2-40B4-BE49-F238E27FC236}">
              <a16:creationId xmlns:a16="http://schemas.microsoft.com/office/drawing/2014/main" id="{A0C311BE-526A-4169-951F-35AB7AD7A3CE}"/>
            </a:ext>
          </a:extLst>
        </xdr:cNvPr>
        <xdr:cNvSpPr/>
      </xdr:nvSpPr>
      <xdr:spPr>
        <a:xfrm>
          <a:off x="2707673" y="4264142"/>
          <a:ext cx="2153548" cy="43705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Kube-apiserver</a:t>
          </a:r>
        </a:p>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interaction logging</a:t>
          </a:r>
        </a:p>
      </xdr:txBody>
    </xdr:sp>
    <xdr:clientData/>
  </xdr:twoCellAnchor>
  <xdr:twoCellAnchor>
    <xdr:from>
      <xdr:col>0</xdr:col>
      <xdr:colOff>404971</xdr:colOff>
      <xdr:row>8</xdr:row>
      <xdr:rowOff>84769</xdr:rowOff>
    </xdr:from>
    <xdr:to>
      <xdr:col>1</xdr:col>
      <xdr:colOff>2124179</xdr:colOff>
      <xdr:row>10</xdr:row>
      <xdr:rowOff>153418</xdr:rowOff>
    </xdr:to>
    <xdr:sp macro="" textlink="">
      <xdr:nvSpPr>
        <xdr:cNvPr id="96" name="Прямоугольник 95">
          <a:extLst>
            <a:ext uri="{FF2B5EF4-FFF2-40B4-BE49-F238E27FC236}">
              <a16:creationId xmlns:a16="http://schemas.microsoft.com/office/drawing/2014/main" id="{1F8A0BCB-3097-4C60-A30E-950A3F128291}"/>
            </a:ext>
          </a:extLst>
        </xdr:cNvPr>
        <xdr:cNvSpPr/>
      </xdr:nvSpPr>
      <xdr:spPr>
        <a:xfrm>
          <a:off x="404971" y="1547809"/>
          <a:ext cx="2153548" cy="43440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Nodes Vulnerability and Malware Management</a:t>
          </a:r>
        </a:p>
      </xdr:txBody>
    </xdr:sp>
    <xdr:clientData/>
  </xdr:twoCellAnchor>
  <xdr:twoCellAnchor>
    <xdr:from>
      <xdr:col>3</xdr:col>
      <xdr:colOff>2276307</xdr:colOff>
      <xdr:row>8</xdr:row>
      <xdr:rowOff>84769</xdr:rowOff>
    </xdr:from>
    <xdr:to>
      <xdr:col>4</xdr:col>
      <xdr:colOff>2128615</xdr:colOff>
      <xdr:row>10</xdr:row>
      <xdr:rowOff>153418</xdr:rowOff>
    </xdr:to>
    <xdr:sp macro="" textlink="">
      <xdr:nvSpPr>
        <xdr:cNvPr id="97" name="Прямоугольник 96">
          <a:extLst>
            <a:ext uri="{FF2B5EF4-FFF2-40B4-BE49-F238E27FC236}">
              <a16:creationId xmlns:a16="http://schemas.microsoft.com/office/drawing/2014/main" id="{1D808430-D7DC-4C16-88E5-EA1F3971FCA9}"/>
            </a:ext>
          </a:extLst>
        </xdr:cNvPr>
        <xdr:cNvSpPr/>
      </xdr:nvSpPr>
      <xdr:spPr>
        <a:xfrm>
          <a:off x="7313127" y="1547809"/>
          <a:ext cx="2153548" cy="43440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Container startup checks (Manifest)</a:t>
          </a:r>
        </a:p>
      </xdr:txBody>
    </xdr:sp>
    <xdr:clientData/>
  </xdr:twoCellAnchor>
  <xdr:twoCellAnchor>
    <xdr:from>
      <xdr:col>2</xdr:col>
      <xdr:colOff>2273715</xdr:colOff>
      <xdr:row>8</xdr:row>
      <xdr:rowOff>91971</xdr:rowOff>
    </xdr:from>
    <xdr:to>
      <xdr:col>3</xdr:col>
      <xdr:colOff>2140033</xdr:colOff>
      <xdr:row>10</xdr:row>
      <xdr:rowOff>160620</xdr:rowOff>
    </xdr:to>
    <xdr:sp macro="" textlink="">
      <xdr:nvSpPr>
        <xdr:cNvPr id="98" name="Прямоугольник 97">
          <a:extLst>
            <a:ext uri="{FF2B5EF4-FFF2-40B4-BE49-F238E27FC236}">
              <a16:creationId xmlns:a16="http://schemas.microsoft.com/office/drawing/2014/main" id="{1C91C786-4D32-4F24-9D51-9B885AADB011}"/>
            </a:ext>
          </a:extLst>
        </xdr:cNvPr>
        <xdr:cNvSpPr/>
      </xdr:nvSpPr>
      <xdr:spPr>
        <a:xfrm>
          <a:off x="5009295" y="1555011"/>
          <a:ext cx="2167558" cy="43440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Image Vulnerability and Malware Management</a:t>
          </a:r>
        </a:p>
      </xdr:txBody>
    </xdr:sp>
    <xdr:clientData/>
  </xdr:twoCellAnchor>
  <xdr:twoCellAnchor>
    <xdr:from>
      <xdr:col>4</xdr:col>
      <xdr:colOff>2278346</xdr:colOff>
      <xdr:row>8</xdr:row>
      <xdr:rowOff>84769</xdr:rowOff>
    </xdr:from>
    <xdr:to>
      <xdr:col>5</xdr:col>
      <xdr:colOff>2130654</xdr:colOff>
      <xdr:row>10</xdr:row>
      <xdr:rowOff>153418</xdr:rowOff>
    </xdr:to>
    <xdr:sp macro="" textlink="">
      <xdr:nvSpPr>
        <xdr:cNvPr id="99" name="Прямоугольник 98">
          <a:extLst>
            <a:ext uri="{FF2B5EF4-FFF2-40B4-BE49-F238E27FC236}">
              <a16:creationId xmlns:a16="http://schemas.microsoft.com/office/drawing/2014/main" id="{36CD08B3-B267-45FD-B60E-C12D110A5A33}"/>
            </a:ext>
          </a:extLst>
        </xdr:cNvPr>
        <xdr:cNvSpPr/>
      </xdr:nvSpPr>
      <xdr:spPr>
        <a:xfrm>
          <a:off x="9616406" y="1547809"/>
          <a:ext cx="2153548" cy="43440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Container filesystem control</a:t>
          </a:r>
        </a:p>
      </xdr:txBody>
    </xdr:sp>
    <xdr:clientData/>
  </xdr:twoCellAnchor>
  <xdr:twoCellAnchor>
    <xdr:from>
      <xdr:col>1</xdr:col>
      <xdr:colOff>2273333</xdr:colOff>
      <xdr:row>8</xdr:row>
      <xdr:rowOff>84769</xdr:rowOff>
    </xdr:from>
    <xdr:to>
      <xdr:col>2</xdr:col>
      <xdr:colOff>2125641</xdr:colOff>
      <xdr:row>10</xdr:row>
      <xdr:rowOff>153418</xdr:rowOff>
    </xdr:to>
    <xdr:sp macro="" textlink="">
      <xdr:nvSpPr>
        <xdr:cNvPr id="100" name="Прямоугольник 99">
          <a:extLst>
            <a:ext uri="{FF2B5EF4-FFF2-40B4-BE49-F238E27FC236}">
              <a16:creationId xmlns:a16="http://schemas.microsoft.com/office/drawing/2014/main" id="{66BE9819-0C33-41EA-962E-A13ED51190AE}"/>
            </a:ext>
          </a:extLst>
        </xdr:cNvPr>
        <xdr:cNvSpPr/>
      </xdr:nvSpPr>
      <xdr:spPr>
        <a:xfrm>
          <a:off x="2707673" y="1547809"/>
          <a:ext cx="2153548" cy="43440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Orchestrator authentication management</a:t>
          </a:r>
        </a:p>
      </xdr:txBody>
    </xdr:sp>
    <xdr:clientData/>
  </xdr:twoCellAnchor>
  <xdr:twoCellAnchor>
    <xdr:from>
      <xdr:col>4</xdr:col>
      <xdr:colOff>2278346</xdr:colOff>
      <xdr:row>5</xdr:row>
      <xdr:rowOff>89613</xdr:rowOff>
    </xdr:from>
    <xdr:to>
      <xdr:col>5</xdr:col>
      <xdr:colOff>2130654</xdr:colOff>
      <xdr:row>7</xdr:row>
      <xdr:rowOff>158261</xdr:rowOff>
    </xdr:to>
    <xdr:sp macro="" textlink="">
      <xdr:nvSpPr>
        <xdr:cNvPr id="101" name="Прямоугольник 100">
          <a:extLst>
            <a:ext uri="{FF2B5EF4-FFF2-40B4-BE49-F238E27FC236}">
              <a16:creationId xmlns:a16="http://schemas.microsoft.com/office/drawing/2014/main" id="{BE044BBF-D1F4-412A-9796-830FC0406CFF}"/>
            </a:ext>
          </a:extLst>
        </xdr:cNvPr>
        <xdr:cNvSpPr/>
      </xdr:nvSpPr>
      <xdr:spPr>
        <a:xfrm>
          <a:off x="9616406" y="1004013"/>
          <a:ext cx="2153548" cy="4344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Container process control</a:t>
          </a:r>
        </a:p>
      </xdr:txBody>
    </xdr:sp>
    <xdr:clientData/>
  </xdr:twoCellAnchor>
  <xdr:twoCellAnchor>
    <xdr:from>
      <xdr:col>2</xdr:col>
      <xdr:colOff>2275108</xdr:colOff>
      <xdr:row>5</xdr:row>
      <xdr:rowOff>89613</xdr:rowOff>
    </xdr:from>
    <xdr:to>
      <xdr:col>3</xdr:col>
      <xdr:colOff>2127416</xdr:colOff>
      <xdr:row>7</xdr:row>
      <xdr:rowOff>158261</xdr:rowOff>
    </xdr:to>
    <xdr:sp macro="" textlink="">
      <xdr:nvSpPr>
        <xdr:cNvPr id="102" name="Прямоугольник 101">
          <a:extLst>
            <a:ext uri="{FF2B5EF4-FFF2-40B4-BE49-F238E27FC236}">
              <a16:creationId xmlns:a16="http://schemas.microsoft.com/office/drawing/2014/main" id="{F0A772D8-608B-411B-903B-D45C3A28832B}"/>
            </a:ext>
          </a:extLst>
        </xdr:cNvPr>
        <xdr:cNvSpPr/>
      </xdr:nvSpPr>
      <xdr:spPr>
        <a:xfrm>
          <a:off x="5010688" y="1004013"/>
          <a:ext cx="2153548" cy="4344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Dockerfile Analysis (Compliance</a:t>
          </a:r>
          <a:r>
            <a:rPr lang="ru-RU" sz="1200">
              <a:solidFill>
                <a:schemeClr val="tx1"/>
              </a:solidFill>
              <a:latin typeface="Segoe UI" panose="020B0502040204020203" pitchFamily="34" charset="0"/>
              <a:cs typeface="Segoe UI" panose="020B0502040204020203" pitchFamily="34" charset="0"/>
            </a:rPr>
            <a:t>, </a:t>
          </a:r>
          <a:r>
            <a:rPr lang="en-US" sz="1200">
              <a:solidFill>
                <a:schemeClr val="tx1"/>
              </a:solidFill>
              <a:latin typeface="Segoe UI" panose="020B0502040204020203" pitchFamily="34" charset="0"/>
              <a:cs typeface="Segoe UI" panose="020B0502040204020203" pitchFamily="34" charset="0"/>
            </a:rPr>
            <a:t>Best practice)</a:t>
          </a:r>
        </a:p>
      </xdr:txBody>
    </xdr:sp>
    <xdr:clientData/>
  </xdr:twoCellAnchor>
  <xdr:twoCellAnchor>
    <xdr:from>
      <xdr:col>3</xdr:col>
      <xdr:colOff>2276307</xdr:colOff>
      <xdr:row>5</xdr:row>
      <xdr:rowOff>89613</xdr:rowOff>
    </xdr:from>
    <xdr:to>
      <xdr:col>4</xdr:col>
      <xdr:colOff>2128615</xdr:colOff>
      <xdr:row>7</xdr:row>
      <xdr:rowOff>158261</xdr:rowOff>
    </xdr:to>
    <xdr:sp macro="" textlink="">
      <xdr:nvSpPr>
        <xdr:cNvPr id="103" name="Прямоугольник 102">
          <a:extLst>
            <a:ext uri="{FF2B5EF4-FFF2-40B4-BE49-F238E27FC236}">
              <a16:creationId xmlns:a16="http://schemas.microsoft.com/office/drawing/2014/main" id="{CC519E19-DF75-458F-B17F-54BD8FD16B3A}"/>
            </a:ext>
          </a:extLst>
        </xdr:cNvPr>
        <xdr:cNvSpPr/>
      </xdr:nvSpPr>
      <xdr:spPr>
        <a:xfrm>
          <a:off x="7313127" y="1004013"/>
          <a:ext cx="2153548" cy="4344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Deploy Manifest Analysis</a:t>
          </a:r>
        </a:p>
      </xdr:txBody>
    </xdr:sp>
    <xdr:clientData/>
  </xdr:twoCellAnchor>
  <xdr:twoCellAnchor>
    <xdr:from>
      <xdr:col>1</xdr:col>
      <xdr:colOff>2273333</xdr:colOff>
      <xdr:row>5</xdr:row>
      <xdr:rowOff>89613</xdr:rowOff>
    </xdr:from>
    <xdr:to>
      <xdr:col>2</xdr:col>
      <xdr:colOff>2125641</xdr:colOff>
      <xdr:row>7</xdr:row>
      <xdr:rowOff>158261</xdr:rowOff>
    </xdr:to>
    <xdr:sp macro="" textlink="">
      <xdr:nvSpPr>
        <xdr:cNvPr id="104" name="Прямоугольник 103">
          <a:extLst>
            <a:ext uri="{FF2B5EF4-FFF2-40B4-BE49-F238E27FC236}">
              <a16:creationId xmlns:a16="http://schemas.microsoft.com/office/drawing/2014/main" id="{364D4D6B-956D-4B49-B126-143A1497E758}"/>
            </a:ext>
          </a:extLst>
        </xdr:cNvPr>
        <xdr:cNvSpPr/>
      </xdr:nvSpPr>
      <xdr:spPr>
        <a:xfrm>
          <a:off x="2707673" y="1004013"/>
          <a:ext cx="2153548" cy="4344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ETCD Security</a:t>
          </a:r>
        </a:p>
      </xdr:txBody>
    </xdr:sp>
    <xdr:clientData/>
  </xdr:twoCellAnchor>
  <xdr:twoCellAnchor>
    <xdr:from>
      <xdr:col>0</xdr:col>
      <xdr:colOff>404971</xdr:colOff>
      <xdr:row>5</xdr:row>
      <xdr:rowOff>89613</xdr:rowOff>
    </xdr:from>
    <xdr:to>
      <xdr:col>1</xdr:col>
      <xdr:colOff>2124179</xdr:colOff>
      <xdr:row>7</xdr:row>
      <xdr:rowOff>158261</xdr:rowOff>
    </xdr:to>
    <xdr:sp macro="" textlink="">
      <xdr:nvSpPr>
        <xdr:cNvPr id="105" name="Прямоугольник 104">
          <a:extLst>
            <a:ext uri="{FF2B5EF4-FFF2-40B4-BE49-F238E27FC236}">
              <a16:creationId xmlns:a16="http://schemas.microsoft.com/office/drawing/2014/main" id="{A1375589-4F75-4F4A-ACD5-D6C1A8298A38}"/>
            </a:ext>
          </a:extLst>
        </xdr:cNvPr>
        <xdr:cNvSpPr/>
      </xdr:nvSpPr>
      <xdr:spPr>
        <a:xfrm>
          <a:off x="404971" y="1004013"/>
          <a:ext cx="2153548" cy="434408"/>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Cluster Network Control</a:t>
          </a:r>
        </a:p>
      </xdr:txBody>
    </xdr:sp>
    <xdr:clientData/>
  </xdr:twoCellAnchor>
  <xdr:twoCellAnchor>
    <xdr:from>
      <xdr:col>1</xdr:col>
      <xdr:colOff>2273333</xdr:colOff>
      <xdr:row>17</xdr:row>
      <xdr:rowOff>67588</xdr:rowOff>
    </xdr:from>
    <xdr:to>
      <xdr:col>2</xdr:col>
      <xdr:colOff>2125641</xdr:colOff>
      <xdr:row>19</xdr:row>
      <xdr:rowOff>138888</xdr:rowOff>
    </xdr:to>
    <xdr:sp macro="" textlink="">
      <xdr:nvSpPr>
        <xdr:cNvPr id="106" name="Прямоугольник 105">
          <a:extLst>
            <a:ext uri="{FF2B5EF4-FFF2-40B4-BE49-F238E27FC236}">
              <a16:creationId xmlns:a16="http://schemas.microsoft.com/office/drawing/2014/main" id="{D2796AB1-00FE-4A2C-BDF1-CB3A3A8DC15D}"/>
            </a:ext>
          </a:extLst>
        </xdr:cNvPr>
        <xdr:cNvSpPr/>
      </xdr:nvSpPr>
      <xdr:spPr>
        <a:xfrm>
          <a:off x="2707673" y="3176548"/>
          <a:ext cx="2153548" cy="437060"/>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Compliance checks (Orchestrator)</a:t>
          </a:r>
        </a:p>
      </xdr:txBody>
    </xdr:sp>
    <xdr:clientData/>
  </xdr:twoCellAnchor>
  <xdr:twoCellAnchor>
    <xdr:from>
      <xdr:col>4</xdr:col>
      <xdr:colOff>2278346</xdr:colOff>
      <xdr:row>17</xdr:row>
      <xdr:rowOff>67588</xdr:rowOff>
    </xdr:from>
    <xdr:to>
      <xdr:col>5</xdr:col>
      <xdr:colOff>2130654</xdr:colOff>
      <xdr:row>19</xdr:row>
      <xdr:rowOff>138888</xdr:rowOff>
    </xdr:to>
    <xdr:sp macro="" textlink="">
      <xdr:nvSpPr>
        <xdr:cNvPr id="107" name="Прямоугольник 106">
          <a:extLst>
            <a:ext uri="{FF2B5EF4-FFF2-40B4-BE49-F238E27FC236}">
              <a16:creationId xmlns:a16="http://schemas.microsoft.com/office/drawing/2014/main" id="{A6C2E847-CA0C-4860-AE08-609B938DD72C}"/>
            </a:ext>
          </a:extLst>
        </xdr:cNvPr>
        <xdr:cNvSpPr/>
      </xdr:nvSpPr>
      <xdr:spPr>
        <a:xfrm>
          <a:off x="9616406" y="3176548"/>
          <a:ext cx="2153548" cy="437060"/>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Behavioral Threat Analytics</a:t>
          </a:r>
        </a:p>
      </xdr:txBody>
    </xdr:sp>
    <xdr:clientData/>
  </xdr:twoCellAnchor>
  <xdr:twoCellAnchor>
    <xdr:from>
      <xdr:col>4</xdr:col>
      <xdr:colOff>2278346</xdr:colOff>
      <xdr:row>14</xdr:row>
      <xdr:rowOff>72432</xdr:rowOff>
    </xdr:from>
    <xdr:to>
      <xdr:col>5</xdr:col>
      <xdr:colOff>2130654</xdr:colOff>
      <xdr:row>16</xdr:row>
      <xdr:rowOff>143731</xdr:rowOff>
    </xdr:to>
    <xdr:sp macro="" textlink="">
      <xdr:nvSpPr>
        <xdr:cNvPr id="108" name="Прямоугольник 107">
          <a:extLst>
            <a:ext uri="{FF2B5EF4-FFF2-40B4-BE49-F238E27FC236}">
              <a16:creationId xmlns:a16="http://schemas.microsoft.com/office/drawing/2014/main" id="{9D9995E5-FDEA-410C-9D61-C8398B7FA085}"/>
            </a:ext>
          </a:extLst>
        </xdr:cNvPr>
        <xdr:cNvSpPr/>
      </xdr:nvSpPr>
      <xdr:spPr>
        <a:xfrm>
          <a:off x="9616406" y="2632752"/>
          <a:ext cx="2153548" cy="43705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Container API security</a:t>
          </a:r>
        </a:p>
        <a:p>
          <a:pPr algn="ctr"/>
          <a:r>
            <a:rPr lang="en-US" sz="1200">
              <a:solidFill>
                <a:schemeClr val="tx1"/>
              </a:solidFill>
              <a:latin typeface="Segoe UI" panose="020B0502040204020203" pitchFamily="34" charset="0"/>
              <a:cs typeface="Segoe UI" panose="020B0502040204020203" pitchFamily="34" charset="0"/>
            </a:rPr>
            <a:t>and WAF</a:t>
          </a:r>
        </a:p>
      </xdr:txBody>
    </xdr:sp>
    <xdr:clientData/>
  </xdr:twoCellAnchor>
  <xdr:twoCellAnchor>
    <xdr:from>
      <xdr:col>3</xdr:col>
      <xdr:colOff>2276307</xdr:colOff>
      <xdr:row>14</xdr:row>
      <xdr:rowOff>72432</xdr:rowOff>
    </xdr:from>
    <xdr:to>
      <xdr:col>4</xdr:col>
      <xdr:colOff>2128615</xdr:colOff>
      <xdr:row>16</xdr:row>
      <xdr:rowOff>143731</xdr:rowOff>
    </xdr:to>
    <xdr:sp macro="" textlink="">
      <xdr:nvSpPr>
        <xdr:cNvPr id="109" name="Прямоугольник 108">
          <a:extLst>
            <a:ext uri="{FF2B5EF4-FFF2-40B4-BE49-F238E27FC236}">
              <a16:creationId xmlns:a16="http://schemas.microsoft.com/office/drawing/2014/main" id="{526614B8-B8D8-4016-AE7E-8E1A99B4F2B0}"/>
            </a:ext>
          </a:extLst>
        </xdr:cNvPr>
        <xdr:cNvSpPr/>
      </xdr:nvSpPr>
      <xdr:spPr>
        <a:xfrm>
          <a:off x="7313127" y="2632752"/>
          <a:ext cx="2153548" cy="43705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Resources Quota Management</a:t>
          </a:r>
        </a:p>
      </xdr:txBody>
    </xdr:sp>
    <xdr:clientData/>
  </xdr:twoCellAnchor>
  <xdr:twoCellAnchor>
    <xdr:from>
      <xdr:col>0</xdr:col>
      <xdr:colOff>404971</xdr:colOff>
      <xdr:row>14</xdr:row>
      <xdr:rowOff>72432</xdr:rowOff>
    </xdr:from>
    <xdr:to>
      <xdr:col>1</xdr:col>
      <xdr:colOff>2124179</xdr:colOff>
      <xdr:row>16</xdr:row>
      <xdr:rowOff>143731</xdr:rowOff>
    </xdr:to>
    <xdr:sp macro="" textlink="">
      <xdr:nvSpPr>
        <xdr:cNvPr id="110" name="Прямоугольник 109">
          <a:extLst>
            <a:ext uri="{FF2B5EF4-FFF2-40B4-BE49-F238E27FC236}">
              <a16:creationId xmlns:a16="http://schemas.microsoft.com/office/drawing/2014/main" id="{10AE6EBC-D08D-4225-98C9-86E4F279DDE8}"/>
            </a:ext>
          </a:extLst>
        </xdr:cNvPr>
        <xdr:cNvSpPr/>
      </xdr:nvSpPr>
      <xdr:spPr>
        <a:xfrm>
          <a:off x="404971" y="2632752"/>
          <a:ext cx="2153548" cy="43705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Compliance checks (Nodes)</a:t>
          </a:r>
        </a:p>
      </xdr:txBody>
    </xdr:sp>
    <xdr:clientData/>
  </xdr:twoCellAnchor>
  <xdr:twoCellAnchor>
    <xdr:from>
      <xdr:col>1</xdr:col>
      <xdr:colOff>2273333</xdr:colOff>
      <xdr:row>14</xdr:row>
      <xdr:rowOff>72432</xdr:rowOff>
    </xdr:from>
    <xdr:to>
      <xdr:col>2</xdr:col>
      <xdr:colOff>2125641</xdr:colOff>
      <xdr:row>16</xdr:row>
      <xdr:rowOff>143731</xdr:rowOff>
    </xdr:to>
    <xdr:sp macro="" textlink="">
      <xdr:nvSpPr>
        <xdr:cNvPr id="111" name="Прямоугольник 110">
          <a:extLst>
            <a:ext uri="{FF2B5EF4-FFF2-40B4-BE49-F238E27FC236}">
              <a16:creationId xmlns:a16="http://schemas.microsoft.com/office/drawing/2014/main" id="{63BD047C-324B-4148-A3B6-BEF6472DE425}"/>
            </a:ext>
          </a:extLst>
        </xdr:cNvPr>
        <xdr:cNvSpPr/>
      </xdr:nvSpPr>
      <xdr:spPr>
        <a:xfrm>
          <a:off x="2707673" y="2632752"/>
          <a:ext cx="2153548" cy="43705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RBAC audit</a:t>
          </a:r>
        </a:p>
      </xdr:txBody>
    </xdr:sp>
    <xdr:clientData/>
  </xdr:twoCellAnchor>
  <xdr:twoCellAnchor>
    <xdr:from>
      <xdr:col>0</xdr:col>
      <xdr:colOff>404971</xdr:colOff>
      <xdr:row>11</xdr:row>
      <xdr:rowOff>77276</xdr:rowOff>
    </xdr:from>
    <xdr:to>
      <xdr:col>1</xdr:col>
      <xdr:colOff>2124179</xdr:colOff>
      <xdr:row>13</xdr:row>
      <xdr:rowOff>148575</xdr:rowOff>
    </xdr:to>
    <xdr:sp macro="" textlink="">
      <xdr:nvSpPr>
        <xdr:cNvPr id="112" name="Прямоугольник 111">
          <a:extLst>
            <a:ext uri="{FF2B5EF4-FFF2-40B4-BE49-F238E27FC236}">
              <a16:creationId xmlns:a16="http://schemas.microsoft.com/office/drawing/2014/main" id="{3EECAA29-BB88-4722-8A68-03CDF7554AE3}"/>
            </a:ext>
          </a:extLst>
        </xdr:cNvPr>
        <xdr:cNvSpPr/>
      </xdr:nvSpPr>
      <xdr:spPr>
        <a:xfrm>
          <a:off x="404971" y="2088956"/>
          <a:ext cx="2153548" cy="43705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Host Hardening</a:t>
          </a:r>
        </a:p>
      </xdr:txBody>
    </xdr:sp>
    <xdr:clientData/>
  </xdr:twoCellAnchor>
  <xdr:twoCellAnchor>
    <xdr:from>
      <xdr:col>2</xdr:col>
      <xdr:colOff>2277013</xdr:colOff>
      <xdr:row>11</xdr:row>
      <xdr:rowOff>75371</xdr:rowOff>
    </xdr:from>
    <xdr:to>
      <xdr:col>3</xdr:col>
      <xdr:colOff>2129321</xdr:colOff>
      <xdr:row>13</xdr:row>
      <xdr:rowOff>146670</xdr:rowOff>
    </xdr:to>
    <xdr:sp macro="" textlink="">
      <xdr:nvSpPr>
        <xdr:cNvPr id="113" name="Прямоугольник 112">
          <a:extLst>
            <a:ext uri="{FF2B5EF4-FFF2-40B4-BE49-F238E27FC236}">
              <a16:creationId xmlns:a16="http://schemas.microsoft.com/office/drawing/2014/main" id="{912740FC-088D-4DD8-8CB7-1DF1A268A927}"/>
            </a:ext>
          </a:extLst>
        </xdr:cNvPr>
        <xdr:cNvSpPr/>
      </xdr:nvSpPr>
      <xdr:spPr>
        <a:xfrm>
          <a:off x="5012593" y="2087051"/>
          <a:ext cx="2153548" cy="43705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Image Digital Signature</a:t>
          </a:r>
        </a:p>
      </xdr:txBody>
    </xdr:sp>
    <xdr:clientData/>
  </xdr:twoCellAnchor>
  <xdr:twoCellAnchor>
    <xdr:from>
      <xdr:col>4</xdr:col>
      <xdr:colOff>2278346</xdr:colOff>
      <xdr:row>11</xdr:row>
      <xdr:rowOff>77276</xdr:rowOff>
    </xdr:from>
    <xdr:to>
      <xdr:col>5</xdr:col>
      <xdr:colOff>2130654</xdr:colOff>
      <xdr:row>13</xdr:row>
      <xdr:rowOff>148575</xdr:rowOff>
    </xdr:to>
    <xdr:sp macro="" textlink="">
      <xdr:nvSpPr>
        <xdr:cNvPr id="114" name="Прямоугольник 113">
          <a:extLst>
            <a:ext uri="{FF2B5EF4-FFF2-40B4-BE49-F238E27FC236}">
              <a16:creationId xmlns:a16="http://schemas.microsoft.com/office/drawing/2014/main" id="{16A30767-E1B1-457F-98B8-D370E69506E4}"/>
            </a:ext>
          </a:extLst>
        </xdr:cNvPr>
        <xdr:cNvSpPr/>
      </xdr:nvSpPr>
      <xdr:spPr>
        <a:xfrm>
          <a:off x="9616406" y="2088956"/>
          <a:ext cx="2153548" cy="43705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Container network control</a:t>
          </a:r>
        </a:p>
      </xdr:txBody>
    </xdr:sp>
    <xdr:clientData/>
  </xdr:twoCellAnchor>
  <xdr:twoCellAnchor>
    <xdr:from>
      <xdr:col>1</xdr:col>
      <xdr:colOff>2273333</xdr:colOff>
      <xdr:row>11</xdr:row>
      <xdr:rowOff>77276</xdr:rowOff>
    </xdr:from>
    <xdr:to>
      <xdr:col>2</xdr:col>
      <xdr:colOff>2125641</xdr:colOff>
      <xdr:row>13</xdr:row>
      <xdr:rowOff>148575</xdr:rowOff>
    </xdr:to>
    <xdr:sp macro="" textlink="">
      <xdr:nvSpPr>
        <xdr:cNvPr id="115" name="Прямоугольник 114">
          <a:extLst>
            <a:ext uri="{FF2B5EF4-FFF2-40B4-BE49-F238E27FC236}">
              <a16:creationId xmlns:a16="http://schemas.microsoft.com/office/drawing/2014/main" id="{FC1B7F83-9A98-4EAE-865E-D23251BC2F8E}"/>
            </a:ext>
          </a:extLst>
        </xdr:cNvPr>
        <xdr:cNvSpPr/>
      </xdr:nvSpPr>
      <xdr:spPr>
        <a:xfrm>
          <a:off x="2707673" y="2088956"/>
          <a:ext cx="2153548" cy="43705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RBAC management</a:t>
          </a:r>
        </a:p>
      </xdr:txBody>
    </xdr:sp>
    <xdr:clientData/>
  </xdr:twoCellAnchor>
  <xdr:twoCellAnchor>
    <xdr:from>
      <xdr:col>3</xdr:col>
      <xdr:colOff>2276307</xdr:colOff>
      <xdr:row>11</xdr:row>
      <xdr:rowOff>77276</xdr:rowOff>
    </xdr:from>
    <xdr:to>
      <xdr:col>4</xdr:col>
      <xdr:colOff>2128615</xdr:colOff>
      <xdr:row>13</xdr:row>
      <xdr:rowOff>148575</xdr:rowOff>
    </xdr:to>
    <xdr:sp macro="" textlink="">
      <xdr:nvSpPr>
        <xdr:cNvPr id="116" name="Прямоугольник 115">
          <a:extLst>
            <a:ext uri="{FF2B5EF4-FFF2-40B4-BE49-F238E27FC236}">
              <a16:creationId xmlns:a16="http://schemas.microsoft.com/office/drawing/2014/main" id="{EEA2B717-DBBE-48FD-91A3-9135E50AB217}"/>
            </a:ext>
          </a:extLst>
        </xdr:cNvPr>
        <xdr:cNvSpPr/>
      </xdr:nvSpPr>
      <xdr:spPr>
        <a:xfrm>
          <a:off x="7313127" y="2088956"/>
          <a:ext cx="2153548" cy="43705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Image Digital</a:t>
          </a:r>
          <a:endParaRPr lang="ru-RU" sz="1200">
            <a:solidFill>
              <a:schemeClr val="tx1"/>
            </a:solidFill>
            <a:latin typeface="Segoe UI" panose="020B0502040204020203" pitchFamily="34" charset="0"/>
            <a:cs typeface="Segoe UI" panose="020B0502040204020203" pitchFamily="34" charset="0"/>
          </a:endParaRPr>
        </a:p>
        <a:p>
          <a:pPr algn="ctr"/>
          <a:r>
            <a:rPr lang="en-US" sz="1200">
              <a:solidFill>
                <a:schemeClr val="tx1"/>
              </a:solidFill>
              <a:latin typeface="Segoe UI" panose="020B0502040204020203" pitchFamily="34" charset="0"/>
              <a:cs typeface="Segoe UI" panose="020B0502040204020203" pitchFamily="34" charset="0"/>
            </a:rPr>
            <a:t>Signature</a:t>
          </a:r>
          <a:r>
            <a:rPr lang="ru-RU" sz="1200">
              <a:solidFill>
                <a:schemeClr val="tx1"/>
              </a:solidFill>
              <a:latin typeface="Segoe UI" panose="020B0502040204020203" pitchFamily="34" charset="0"/>
              <a:cs typeface="Segoe UI" panose="020B0502040204020203" pitchFamily="34" charset="0"/>
            </a:rPr>
            <a:t> </a:t>
          </a:r>
          <a:r>
            <a:rPr lang="en-US" sz="1200">
              <a:solidFill>
                <a:schemeClr val="tx1"/>
              </a:solidFill>
              <a:latin typeface="Segoe UI" panose="020B0502040204020203" pitchFamily="34" charset="0"/>
              <a:cs typeface="Segoe UI" panose="020B0502040204020203" pitchFamily="34" charset="0"/>
            </a:rPr>
            <a:t>Checks</a:t>
          </a:r>
        </a:p>
      </xdr:txBody>
    </xdr:sp>
    <xdr:clientData/>
  </xdr:twoCellAnchor>
  <xdr:twoCellAnchor>
    <xdr:from>
      <xdr:col>2</xdr:col>
      <xdr:colOff>2275107</xdr:colOff>
      <xdr:row>20</xdr:row>
      <xdr:rowOff>62746</xdr:rowOff>
    </xdr:from>
    <xdr:to>
      <xdr:col>5</xdr:col>
      <xdr:colOff>2130654</xdr:colOff>
      <xdr:row>22</xdr:row>
      <xdr:rowOff>134045</xdr:rowOff>
    </xdr:to>
    <xdr:sp macro="" textlink="">
      <xdr:nvSpPr>
        <xdr:cNvPr id="117" name="Прямоугольник 116">
          <a:extLst>
            <a:ext uri="{FF2B5EF4-FFF2-40B4-BE49-F238E27FC236}">
              <a16:creationId xmlns:a16="http://schemas.microsoft.com/office/drawing/2014/main" id="{CB266231-680D-4249-958D-349CC6745586}"/>
            </a:ext>
          </a:extLst>
        </xdr:cNvPr>
        <xdr:cNvSpPr/>
      </xdr:nvSpPr>
      <xdr:spPr>
        <a:xfrm>
          <a:off x="5010687" y="3720346"/>
          <a:ext cx="6759267" cy="43705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cs typeface="Segoe UI" panose="020B0502040204020203" pitchFamily="34" charset="0"/>
            </a:rPr>
            <a:t>Secret Management</a:t>
          </a:r>
        </a:p>
      </xdr:txBody>
    </xdr:sp>
    <xdr:clientData/>
  </xdr:twoCellAnchor>
  <xdr:twoCellAnchor>
    <xdr:from>
      <xdr:col>1</xdr:col>
      <xdr:colOff>2273333</xdr:colOff>
      <xdr:row>20</xdr:row>
      <xdr:rowOff>62746</xdr:rowOff>
    </xdr:from>
    <xdr:to>
      <xdr:col>2</xdr:col>
      <xdr:colOff>2125641</xdr:colOff>
      <xdr:row>22</xdr:row>
      <xdr:rowOff>134045</xdr:rowOff>
    </xdr:to>
    <xdr:sp macro="" textlink="">
      <xdr:nvSpPr>
        <xdr:cNvPr id="118" name="Прямоугольник 117">
          <a:extLst>
            <a:ext uri="{FF2B5EF4-FFF2-40B4-BE49-F238E27FC236}">
              <a16:creationId xmlns:a16="http://schemas.microsoft.com/office/drawing/2014/main" id="{31A21C7B-F0B2-4BA8-99F9-4D27DA7A711B}"/>
            </a:ext>
          </a:extLst>
        </xdr:cNvPr>
        <xdr:cNvSpPr/>
      </xdr:nvSpPr>
      <xdr:spPr>
        <a:xfrm>
          <a:off x="2707673" y="3720346"/>
          <a:ext cx="2153548" cy="437059"/>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rgbClr val="000000"/>
              </a:solidFill>
              <a:latin typeface="Segoe UI" panose="020B0502040204020203" pitchFamily="34" charset="0"/>
            </a:rPr>
            <a:t>Separation &amp; Isolation</a:t>
          </a:r>
          <a:endParaRPr lang="en-US" sz="120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2</xdr:col>
      <xdr:colOff>2275107</xdr:colOff>
      <xdr:row>17</xdr:row>
      <xdr:rowOff>67588</xdr:rowOff>
    </xdr:from>
    <xdr:to>
      <xdr:col>4</xdr:col>
      <xdr:colOff>2128614</xdr:colOff>
      <xdr:row>19</xdr:row>
      <xdr:rowOff>138888</xdr:rowOff>
    </xdr:to>
    <xdr:sp macro="" textlink="">
      <xdr:nvSpPr>
        <xdr:cNvPr id="119" name="Прямоугольник 118">
          <a:extLst>
            <a:ext uri="{FF2B5EF4-FFF2-40B4-BE49-F238E27FC236}">
              <a16:creationId xmlns:a16="http://schemas.microsoft.com/office/drawing/2014/main" id="{926BD519-5CFB-42BC-9B5F-2DDB5697FDB5}"/>
            </a:ext>
          </a:extLst>
        </xdr:cNvPr>
        <xdr:cNvSpPr/>
      </xdr:nvSpPr>
      <xdr:spPr>
        <a:xfrm>
          <a:off x="5010687" y="3176548"/>
          <a:ext cx="4455987" cy="437060"/>
        </a:xfrm>
        <a:prstGeom prst="rect">
          <a:avLst/>
        </a:prstGeom>
        <a:solidFill>
          <a:schemeClr val="bg1">
            <a:lumMod val="95000"/>
          </a:schemeClr>
        </a:solidFill>
        <a:ln>
          <a:solidFill>
            <a:srgbClr val="0033C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a:solidFill>
                <a:schemeClr val="tx1"/>
              </a:solidFill>
              <a:latin typeface="Segoe UI" panose="020B0502040204020203" pitchFamily="34" charset="0"/>
              <a:ea typeface="Segoe UI" panose="020B0502040204020203" pitchFamily="34" charset="0"/>
              <a:cs typeface="Segoe UI" panose="020B0502040204020203" pitchFamily="34" charset="0"/>
            </a:rPr>
            <a:t>Secret Identification</a:t>
          </a:r>
        </a:p>
      </xdr:txBody>
    </xdr:sp>
    <xdr:clientData/>
  </xdr:twoCellAnchor>
  <xdr:twoCellAnchor>
    <xdr:from>
      <xdr:col>5</xdr:col>
      <xdr:colOff>651629</xdr:colOff>
      <xdr:row>1</xdr:row>
      <xdr:rowOff>60960</xdr:rowOff>
    </xdr:from>
    <xdr:to>
      <xdr:col>5</xdr:col>
      <xdr:colOff>2130653</xdr:colOff>
      <xdr:row>4</xdr:row>
      <xdr:rowOff>87653</xdr:rowOff>
    </xdr:to>
    <xdr:sp macro="" textlink="">
      <xdr:nvSpPr>
        <xdr:cNvPr id="120" name="TextBox 33">
          <a:extLst>
            <a:ext uri="{FF2B5EF4-FFF2-40B4-BE49-F238E27FC236}">
              <a16:creationId xmlns:a16="http://schemas.microsoft.com/office/drawing/2014/main" id="{97A97EEF-EE3C-416F-AE33-83385D3BB433}"/>
            </a:ext>
          </a:extLst>
        </xdr:cNvPr>
        <xdr:cNvSpPr txBox="1"/>
      </xdr:nvSpPr>
      <xdr:spPr>
        <a:xfrm>
          <a:off x="10290929" y="243840"/>
          <a:ext cx="1479024" cy="575333"/>
        </a:xfrm>
        <a:prstGeom prst="round2DiagRect">
          <a:avLst/>
        </a:prstGeom>
        <a:solidFill>
          <a:srgbClr val="0033CC"/>
        </a:solid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a:solidFill>
                <a:schemeClr val="bg1"/>
              </a:solidFill>
              <a:latin typeface="Segoe UI" panose="020B0502040204020203" pitchFamily="34" charset="0"/>
              <a:cs typeface="Segoe UI" panose="020B0502040204020203" pitchFamily="34" charset="0"/>
            </a:rPr>
            <a:t>Безопасность контейнеров</a:t>
          </a:r>
          <a:endParaRPr lang="en-US" sz="1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4</xdr:col>
      <xdr:colOff>649590</xdr:colOff>
      <xdr:row>1</xdr:row>
      <xdr:rowOff>60960</xdr:rowOff>
    </xdr:from>
    <xdr:to>
      <xdr:col>4</xdr:col>
      <xdr:colOff>2128614</xdr:colOff>
      <xdr:row>4</xdr:row>
      <xdr:rowOff>87653</xdr:rowOff>
    </xdr:to>
    <xdr:sp macro="" textlink="">
      <xdr:nvSpPr>
        <xdr:cNvPr id="121" name="TextBox 34">
          <a:extLst>
            <a:ext uri="{FF2B5EF4-FFF2-40B4-BE49-F238E27FC236}">
              <a16:creationId xmlns:a16="http://schemas.microsoft.com/office/drawing/2014/main" id="{4A1A0ADA-FCC2-4ED7-B7B5-62012B9A5673}"/>
            </a:ext>
          </a:extLst>
        </xdr:cNvPr>
        <xdr:cNvSpPr txBox="1"/>
      </xdr:nvSpPr>
      <xdr:spPr>
        <a:xfrm>
          <a:off x="7987650" y="243840"/>
          <a:ext cx="1479024" cy="575333"/>
        </a:xfrm>
        <a:prstGeom prst="round2DiagRect">
          <a:avLst/>
        </a:prstGeom>
        <a:solidFill>
          <a:srgbClr val="0033CC"/>
        </a:solid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a:solidFill>
                <a:schemeClr val="bg1"/>
              </a:solidFill>
              <a:latin typeface="Segoe UI" panose="020B0502040204020203" pitchFamily="34" charset="0"/>
              <a:cs typeface="Segoe UI" panose="020B0502040204020203" pitchFamily="34" charset="0"/>
            </a:rPr>
            <a:t>Безопасность манифестов</a:t>
          </a:r>
          <a:endParaRPr lang="en-US" sz="1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3</xdr:col>
      <xdr:colOff>2276307</xdr:colOff>
      <xdr:row>1</xdr:row>
      <xdr:rowOff>60960</xdr:rowOff>
    </xdr:from>
    <xdr:to>
      <xdr:col>4</xdr:col>
      <xdr:colOff>519038</xdr:colOff>
      <xdr:row>4</xdr:row>
      <xdr:rowOff>87653</xdr:rowOff>
    </xdr:to>
    <xdr:grpSp>
      <xdr:nvGrpSpPr>
        <xdr:cNvPr id="122" name="Группа 121">
          <a:extLst>
            <a:ext uri="{FF2B5EF4-FFF2-40B4-BE49-F238E27FC236}">
              <a16:creationId xmlns:a16="http://schemas.microsoft.com/office/drawing/2014/main" id="{9EDA5754-3CA0-468A-8895-C37B80A1E88A}"/>
            </a:ext>
          </a:extLst>
        </xdr:cNvPr>
        <xdr:cNvGrpSpPr>
          <a:grpSpLocks noChangeAspect="1"/>
        </xdr:cNvGrpSpPr>
      </xdr:nvGrpSpPr>
      <xdr:grpSpPr>
        <a:xfrm>
          <a:off x="7134057" y="251460"/>
          <a:ext cx="519206" cy="598193"/>
          <a:chOff x="6044217" y="3060700"/>
          <a:chExt cx="1585308" cy="1653540"/>
        </a:xfrm>
      </xdr:grpSpPr>
      <xdr:sp macro="" textlink="">
        <xdr:nvSpPr>
          <xdr:cNvPr id="123" name="Скругленный прямоугольник 122">
            <a:extLst>
              <a:ext uri="{FF2B5EF4-FFF2-40B4-BE49-F238E27FC236}">
                <a16:creationId xmlns:a16="http://schemas.microsoft.com/office/drawing/2014/main" id="{3F5DA27C-5B39-4E9A-B48A-16E7941929ED}"/>
              </a:ext>
            </a:extLst>
          </xdr:cNvPr>
          <xdr:cNvSpPr/>
        </xdr:nvSpPr>
        <xdr:spPr>
          <a:xfrm>
            <a:off x="6044217" y="3060700"/>
            <a:ext cx="1358398" cy="1653540"/>
          </a:xfrm>
          <a:prstGeom prst="roundRect">
            <a:avLst>
              <a:gd name="adj" fmla="val 548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4" name="Овал 123">
            <a:extLst>
              <a:ext uri="{FF2B5EF4-FFF2-40B4-BE49-F238E27FC236}">
                <a16:creationId xmlns:a16="http://schemas.microsoft.com/office/drawing/2014/main" id="{D5ED71CF-67F1-4EC5-94B8-2A5F8478F301}"/>
              </a:ext>
            </a:extLst>
          </xdr:cNvPr>
          <xdr:cNvSpPr/>
        </xdr:nvSpPr>
        <xdr:spPr>
          <a:xfrm>
            <a:off x="7057771" y="4043594"/>
            <a:ext cx="571754" cy="57175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5" name="Скругленный прямоугольник 124">
            <a:extLst>
              <a:ext uri="{FF2B5EF4-FFF2-40B4-BE49-F238E27FC236}">
                <a16:creationId xmlns:a16="http://schemas.microsoft.com/office/drawing/2014/main" id="{707F14FF-0FD5-4D43-92A9-A4C38C828762}"/>
              </a:ext>
            </a:extLst>
          </xdr:cNvPr>
          <xdr:cNvSpPr/>
        </xdr:nvSpPr>
        <xdr:spPr>
          <a:xfrm>
            <a:off x="6162151" y="3178016"/>
            <a:ext cx="1122531" cy="1418908"/>
          </a:xfrm>
          <a:prstGeom prst="roundRect">
            <a:avLst>
              <a:gd name="adj" fmla="val 119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126" name="Группа 125">
            <a:extLst>
              <a:ext uri="{FF2B5EF4-FFF2-40B4-BE49-F238E27FC236}">
                <a16:creationId xmlns:a16="http://schemas.microsoft.com/office/drawing/2014/main" id="{C2007F1D-1E55-44DB-A849-8314A4CAAD5A}"/>
              </a:ext>
            </a:extLst>
          </xdr:cNvPr>
          <xdr:cNvGrpSpPr/>
        </xdr:nvGrpSpPr>
        <xdr:grpSpPr>
          <a:xfrm>
            <a:off x="6277113" y="3370508"/>
            <a:ext cx="892606" cy="720105"/>
            <a:chOff x="1802607" y="1871663"/>
            <a:chExt cx="1835944" cy="1481135"/>
          </a:xfrm>
          <a:solidFill>
            <a:srgbClr val="00B0F0"/>
          </a:solidFill>
        </xdr:grpSpPr>
        <xdr:sp macro="" textlink="">
          <xdr:nvSpPr>
            <xdr:cNvPr id="128" name="Скругленный прямоугольник 127">
              <a:extLst>
                <a:ext uri="{FF2B5EF4-FFF2-40B4-BE49-F238E27FC236}">
                  <a16:creationId xmlns:a16="http://schemas.microsoft.com/office/drawing/2014/main" id="{B6DF7326-6EDA-4468-947A-F78DCD634AC1}"/>
                </a:ext>
              </a:extLst>
            </xdr:cNvPr>
            <xdr:cNvSpPr/>
          </xdr:nvSpPr>
          <xdr:spPr>
            <a:xfrm>
              <a:off x="1802607" y="1871663"/>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9" name="Скругленный прямоугольник 128">
              <a:extLst>
                <a:ext uri="{FF2B5EF4-FFF2-40B4-BE49-F238E27FC236}">
                  <a16:creationId xmlns:a16="http://schemas.microsoft.com/office/drawing/2014/main" id="{3DB38404-0A69-4878-BE98-C4635E53E1BA}"/>
                </a:ext>
              </a:extLst>
            </xdr:cNvPr>
            <xdr:cNvSpPr/>
          </xdr:nvSpPr>
          <xdr:spPr>
            <a:xfrm>
              <a:off x="1802607" y="2209800"/>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0" name="Скругленный прямоугольник 129">
              <a:extLst>
                <a:ext uri="{FF2B5EF4-FFF2-40B4-BE49-F238E27FC236}">
                  <a16:creationId xmlns:a16="http://schemas.microsoft.com/office/drawing/2014/main" id="{7E6089BA-ADC3-4E62-8DD2-EE21B21E33A8}"/>
                </a:ext>
              </a:extLst>
            </xdr:cNvPr>
            <xdr:cNvSpPr/>
          </xdr:nvSpPr>
          <xdr:spPr>
            <a:xfrm>
              <a:off x="1802607" y="2547937"/>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1" name="Скругленный прямоугольник 130">
              <a:extLst>
                <a:ext uri="{FF2B5EF4-FFF2-40B4-BE49-F238E27FC236}">
                  <a16:creationId xmlns:a16="http://schemas.microsoft.com/office/drawing/2014/main" id="{8D518648-455C-4504-AD90-04B039A281B1}"/>
                </a:ext>
              </a:extLst>
            </xdr:cNvPr>
            <xdr:cNvSpPr/>
          </xdr:nvSpPr>
          <xdr:spPr>
            <a:xfrm>
              <a:off x="1802607" y="2886074"/>
              <a:ext cx="1835944"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2" name="Скругленный прямоугольник 131">
              <a:extLst>
                <a:ext uri="{FF2B5EF4-FFF2-40B4-BE49-F238E27FC236}">
                  <a16:creationId xmlns:a16="http://schemas.microsoft.com/office/drawing/2014/main" id="{8909E0CE-171D-4F68-998F-C501099CB215}"/>
                </a:ext>
              </a:extLst>
            </xdr:cNvPr>
            <xdr:cNvSpPr/>
          </xdr:nvSpPr>
          <xdr:spPr>
            <a:xfrm>
              <a:off x="1802607" y="3224211"/>
              <a:ext cx="821531" cy="128587"/>
            </a:xfrm>
            <a:prstGeom prst="roundRect">
              <a:avLst>
                <a:gd name="adj" fmla="val 50000"/>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127" name="Freeform 67">
            <a:extLst>
              <a:ext uri="{FF2B5EF4-FFF2-40B4-BE49-F238E27FC236}">
                <a16:creationId xmlns:a16="http://schemas.microsoft.com/office/drawing/2014/main" id="{5B0066C3-88C0-4B04-A2FF-EA2D66739FD9}"/>
              </a:ext>
            </a:extLst>
          </xdr:cNvPr>
          <xdr:cNvSpPr/>
        </xdr:nvSpPr>
        <xdr:spPr>
          <a:xfrm rot="16200000" flipV="1">
            <a:off x="7093170" y="4077066"/>
            <a:ext cx="500956" cy="504812"/>
          </a:xfrm>
          <a:custGeom>
            <a:avLst/>
            <a:gdLst>
              <a:gd name="connsiteX0" fmla="*/ 905949 w 1321161"/>
              <a:gd name="connsiteY0" fmla="*/ 920334 h 1331323"/>
              <a:gd name="connsiteX1" fmla="*/ 389024 w 1321161"/>
              <a:gd name="connsiteY1" fmla="*/ 920334 h 1331323"/>
              <a:gd name="connsiteX2" fmla="*/ 389024 w 1321161"/>
              <a:gd name="connsiteY2" fmla="*/ 403409 h 1331323"/>
              <a:gd name="connsiteX3" fmla="*/ 905949 w 1321161"/>
              <a:gd name="connsiteY3" fmla="*/ 403409 h 1331323"/>
              <a:gd name="connsiteX4" fmla="*/ 905949 w 1321161"/>
              <a:gd name="connsiteY4" fmla="*/ 920334 h 1331323"/>
              <a:gd name="connsiteX5" fmla="*/ 1054093 w 1321161"/>
              <a:gd name="connsiteY5" fmla="*/ 1203699 h 1331323"/>
              <a:gd name="connsiteX6" fmla="*/ 1189314 w 1321161"/>
              <a:gd name="connsiteY6" fmla="*/ 1068478 h 1331323"/>
              <a:gd name="connsiteX7" fmla="*/ 1118748 w 1321161"/>
              <a:gd name="connsiteY7" fmla="*/ 926512 h 1331323"/>
              <a:gd name="connsiteX8" fmla="*/ 1150527 w 1321161"/>
              <a:gd name="connsiteY8" fmla="*/ 866122 h 1331323"/>
              <a:gd name="connsiteX9" fmla="*/ 1165601 w 1321161"/>
              <a:gd name="connsiteY9" fmla="*/ 819426 h 1331323"/>
              <a:gd name="connsiteX10" fmla="*/ 1321161 w 1321161"/>
              <a:gd name="connsiteY10" fmla="*/ 767166 h 1331323"/>
              <a:gd name="connsiteX11" fmla="*/ 1321161 w 1321161"/>
              <a:gd name="connsiteY11" fmla="*/ 575934 h 1331323"/>
              <a:gd name="connsiteX12" fmla="*/ 1171551 w 1321161"/>
              <a:gd name="connsiteY12" fmla="*/ 525672 h 1331323"/>
              <a:gd name="connsiteX13" fmla="*/ 1159842 w 1321161"/>
              <a:gd name="connsiteY13" fmla="*/ 482308 h 1331323"/>
              <a:gd name="connsiteX14" fmla="*/ 1123160 w 1321161"/>
              <a:gd name="connsiteY14" fmla="*/ 405865 h 1331323"/>
              <a:gd name="connsiteX15" fmla="*/ 1193555 w 1321161"/>
              <a:gd name="connsiteY15" fmla="*/ 264243 h 1331323"/>
              <a:gd name="connsiteX16" fmla="*/ 1058333 w 1321161"/>
              <a:gd name="connsiteY16" fmla="*/ 129022 h 1331323"/>
              <a:gd name="connsiteX17" fmla="*/ 922960 w 1321161"/>
              <a:gd name="connsiteY17" fmla="*/ 196311 h 1331323"/>
              <a:gd name="connsiteX18" fmla="*/ 851737 w 1321161"/>
              <a:gd name="connsiteY18" fmla="*/ 158831 h 1331323"/>
              <a:gd name="connsiteX19" fmla="*/ 803995 w 1321161"/>
              <a:gd name="connsiteY19" fmla="*/ 144682 h 1331323"/>
              <a:gd name="connsiteX20" fmla="*/ 755389 w 1321161"/>
              <a:gd name="connsiteY20" fmla="*/ 0 h 1331323"/>
              <a:gd name="connsiteX21" fmla="*/ 564157 w 1321161"/>
              <a:gd name="connsiteY21" fmla="*/ 0 h 1331323"/>
              <a:gd name="connsiteX22" fmla="*/ 518268 w 1321161"/>
              <a:gd name="connsiteY22" fmla="*/ 136594 h 1331323"/>
              <a:gd name="connsiteX23" fmla="*/ 443236 w 1321161"/>
              <a:gd name="connsiteY23" fmla="*/ 158831 h 1331323"/>
              <a:gd name="connsiteX24" fmla="*/ 381738 w 1321161"/>
              <a:gd name="connsiteY24" fmla="*/ 191193 h 1331323"/>
              <a:gd name="connsiteX25" fmla="*/ 243134 w 1321161"/>
              <a:gd name="connsiteY25" fmla="*/ 122297 h 1331323"/>
              <a:gd name="connsiteX26" fmla="*/ 107912 w 1321161"/>
              <a:gd name="connsiteY26" fmla="*/ 257519 h 1331323"/>
              <a:gd name="connsiteX27" fmla="*/ 176068 w 1321161"/>
              <a:gd name="connsiteY27" fmla="*/ 394636 h 1331323"/>
              <a:gd name="connsiteX28" fmla="*/ 166802 w 1321161"/>
              <a:gd name="connsiteY28" fmla="*/ 409452 h 1331323"/>
              <a:gd name="connsiteX29" fmla="*/ 123487 w 1321161"/>
              <a:gd name="connsiteY29" fmla="*/ 519957 h 1331323"/>
              <a:gd name="connsiteX30" fmla="*/ 121640 w 1321161"/>
              <a:gd name="connsiteY30" fmla="*/ 531740 h 1331323"/>
              <a:gd name="connsiteX31" fmla="*/ 0 w 1321161"/>
              <a:gd name="connsiteY31" fmla="*/ 572605 h 1331323"/>
              <a:gd name="connsiteX32" fmla="*/ 0 w 1321161"/>
              <a:gd name="connsiteY32" fmla="*/ 763837 h 1331323"/>
              <a:gd name="connsiteX33" fmla="*/ 127613 w 1321161"/>
              <a:gd name="connsiteY33" fmla="*/ 806708 h 1331323"/>
              <a:gd name="connsiteX34" fmla="*/ 144446 w 1321161"/>
              <a:gd name="connsiteY34" fmla="*/ 866122 h 1331323"/>
              <a:gd name="connsiteX35" fmla="*/ 177849 w 1321161"/>
              <a:gd name="connsiteY35" fmla="*/ 929597 h 1331323"/>
              <a:gd name="connsiteX36" fmla="*/ 109341 w 1321161"/>
              <a:gd name="connsiteY36" fmla="*/ 1067422 h 1331323"/>
              <a:gd name="connsiteX37" fmla="*/ 244562 w 1321161"/>
              <a:gd name="connsiteY37" fmla="*/ 1202644 h 1331323"/>
              <a:gd name="connsiteX38" fmla="*/ 381950 w 1321161"/>
              <a:gd name="connsiteY38" fmla="*/ 1134353 h 1331323"/>
              <a:gd name="connsiteX39" fmla="*/ 395067 w 1321161"/>
              <a:gd name="connsiteY39" fmla="*/ 1142556 h 1331323"/>
              <a:gd name="connsiteX40" fmla="*/ 505572 w 1321161"/>
              <a:gd name="connsiteY40" fmla="*/ 1185871 h 1331323"/>
              <a:gd name="connsiteX41" fmla="*/ 508621 w 1321161"/>
              <a:gd name="connsiteY41" fmla="*/ 1186349 h 1331323"/>
              <a:gd name="connsiteX42" fmla="*/ 557325 w 1321161"/>
              <a:gd name="connsiteY42" fmla="*/ 1331323 h 1331323"/>
              <a:gd name="connsiteX43" fmla="*/ 748557 w 1321161"/>
              <a:gd name="connsiteY43" fmla="*/ 1331323 h 1331323"/>
              <a:gd name="connsiteX44" fmla="*/ 799490 w 1321161"/>
              <a:gd name="connsiteY44" fmla="*/ 1179714 h 1331323"/>
              <a:gd name="connsiteX45" fmla="*/ 851737 w 1321161"/>
              <a:gd name="connsiteY45" fmla="*/ 1164912 h 1331323"/>
              <a:gd name="connsiteX46" fmla="*/ 912127 w 1321161"/>
              <a:gd name="connsiteY46" fmla="*/ 1133133 h 1331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1321161" h="1331323">
                <a:moveTo>
                  <a:pt x="905949" y="920334"/>
                </a:moveTo>
                <a:cubicBezTo>
                  <a:pt x="763204" y="1063079"/>
                  <a:pt x="531769" y="1063079"/>
                  <a:pt x="389024" y="920334"/>
                </a:cubicBezTo>
                <a:cubicBezTo>
                  <a:pt x="246279" y="777589"/>
                  <a:pt x="246279" y="546154"/>
                  <a:pt x="389024" y="403409"/>
                </a:cubicBezTo>
                <a:cubicBezTo>
                  <a:pt x="531769" y="260664"/>
                  <a:pt x="763204" y="260664"/>
                  <a:pt x="905949" y="403409"/>
                </a:cubicBezTo>
                <a:cubicBezTo>
                  <a:pt x="1048694" y="546154"/>
                  <a:pt x="1048694" y="777589"/>
                  <a:pt x="905949" y="920334"/>
                </a:cubicBezTo>
                <a:close/>
                <a:moveTo>
                  <a:pt x="1054093" y="1203699"/>
                </a:moveTo>
                <a:lnTo>
                  <a:pt x="1189314" y="1068478"/>
                </a:lnTo>
                <a:lnTo>
                  <a:pt x="1118748" y="926512"/>
                </a:lnTo>
                <a:lnTo>
                  <a:pt x="1150527" y="866122"/>
                </a:lnTo>
                <a:lnTo>
                  <a:pt x="1165601" y="819426"/>
                </a:lnTo>
                <a:lnTo>
                  <a:pt x="1321161" y="767166"/>
                </a:lnTo>
                <a:lnTo>
                  <a:pt x="1321161" y="575934"/>
                </a:lnTo>
                <a:lnTo>
                  <a:pt x="1171551" y="525672"/>
                </a:lnTo>
                <a:lnTo>
                  <a:pt x="1159842" y="482308"/>
                </a:lnTo>
                <a:lnTo>
                  <a:pt x="1123160" y="405865"/>
                </a:lnTo>
                <a:lnTo>
                  <a:pt x="1193555" y="264243"/>
                </a:lnTo>
                <a:lnTo>
                  <a:pt x="1058333" y="129022"/>
                </a:lnTo>
                <a:lnTo>
                  <a:pt x="922960" y="196311"/>
                </a:lnTo>
                <a:lnTo>
                  <a:pt x="851737" y="158831"/>
                </a:lnTo>
                <a:lnTo>
                  <a:pt x="803995" y="144682"/>
                </a:lnTo>
                <a:lnTo>
                  <a:pt x="755389" y="0"/>
                </a:lnTo>
                <a:lnTo>
                  <a:pt x="564157" y="0"/>
                </a:lnTo>
                <a:lnTo>
                  <a:pt x="518268" y="136594"/>
                </a:lnTo>
                <a:lnTo>
                  <a:pt x="443236" y="158831"/>
                </a:lnTo>
                <a:lnTo>
                  <a:pt x="381738" y="191193"/>
                </a:lnTo>
                <a:lnTo>
                  <a:pt x="243134" y="122297"/>
                </a:lnTo>
                <a:lnTo>
                  <a:pt x="107912" y="257519"/>
                </a:lnTo>
                <a:lnTo>
                  <a:pt x="176068" y="394636"/>
                </a:lnTo>
                <a:lnTo>
                  <a:pt x="166802" y="409452"/>
                </a:lnTo>
                <a:cubicBezTo>
                  <a:pt x="148172" y="444903"/>
                  <a:pt x="133733" y="481983"/>
                  <a:pt x="123487" y="519957"/>
                </a:cubicBezTo>
                <a:lnTo>
                  <a:pt x="121640" y="531740"/>
                </a:lnTo>
                <a:lnTo>
                  <a:pt x="0" y="572605"/>
                </a:lnTo>
                <a:lnTo>
                  <a:pt x="0" y="763837"/>
                </a:lnTo>
                <a:lnTo>
                  <a:pt x="127613" y="806708"/>
                </a:lnTo>
                <a:lnTo>
                  <a:pt x="144446" y="866122"/>
                </a:lnTo>
                <a:lnTo>
                  <a:pt x="177849" y="929597"/>
                </a:lnTo>
                <a:lnTo>
                  <a:pt x="109341" y="1067422"/>
                </a:lnTo>
                <a:lnTo>
                  <a:pt x="244562" y="1202644"/>
                </a:lnTo>
                <a:lnTo>
                  <a:pt x="381950" y="1134353"/>
                </a:lnTo>
                <a:lnTo>
                  <a:pt x="395067" y="1142556"/>
                </a:lnTo>
                <a:cubicBezTo>
                  <a:pt x="430519" y="1161186"/>
                  <a:pt x="467598" y="1175624"/>
                  <a:pt x="505572" y="1185871"/>
                </a:cubicBezTo>
                <a:lnTo>
                  <a:pt x="508621" y="1186349"/>
                </a:lnTo>
                <a:lnTo>
                  <a:pt x="557325" y="1331323"/>
                </a:lnTo>
                <a:lnTo>
                  <a:pt x="748557" y="1331323"/>
                </a:lnTo>
                <a:lnTo>
                  <a:pt x="799490" y="1179714"/>
                </a:lnTo>
                <a:lnTo>
                  <a:pt x="851737" y="1164912"/>
                </a:lnTo>
                <a:lnTo>
                  <a:pt x="912127" y="1133133"/>
                </a:ln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648391</xdr:colOff>
      <xdr:row>1</xdr:row>
      <xdr:rowOff>60960</xdr:rowOff>
    </xdr:from>
    <xdr:to>
      <xdr:col>3</xdr:col>
      <xdr:colOff>2127415</xdr:colOff>
      <xdr:row>4</xdr:row>
      <xdr:rowOff>87653</xdr:rowOff>
    </xdr:to>
    <xdr:sp macro="" textlink="">
      <xdr:nvSpPr>
        <xdr:cNvPr id="133" name="TextBox 46">
          <a:extLst>
            <a:ext uri="{FF2B5EF4-FFF2-40B4-BE49-F238E27FC236}">
              <a16:creationId xmlns:a16="http://schemas.microsoft.com/office/drawing/2014/main" id="{D288FEF1-3DF9-4D76-9EF0-B162BF1646B1}"/>
            </a:ext>
          </a:extLst>
        </xdr:cNvPr>
        <xdr:cNvSpPr txBox="1"/>
      </xdr:nvSpPr>
      <xdr:spPr>
        <a:xfrm>
          <a:off x="5685211" y="243840"/>
          <a:ext cx="1479024" cy="575333"/>
        </a:xfrm>
        <a:prstGeom prst="round2DiagRect">
          <a:avLst/>
        </a:prstGeom>
        <a:solidFill>
          <a:srgbClr val="0033CC"/>
        </a:solid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a:solidFill>
                <a:schemeClr val="bg1"/>
              </a:solidFill>
              <a:latin typeface="Segoe UI" panose="020B0502040204020203" pitchFamily="34" charset="0"/>
              <a:cs typeface="Segoe UI" panose="020B0502040204020203" pitchFamily="34" charset="0"/>
            </a:rPr>
            <a:t>Безопасность образов</a:t>
          </a:r>
          <a:endParaRPr lang="en-US" sz="14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xdr:col>
      <xdr:colOff>2275108</xdr:colOff>
      <xdr:row>1</xdr:row>
      <xdr:rowOff>60961</xdr:rowOff>
    </xdr:from>
    <xdr:to>
      <xdr:col>3</xdr:col>
      <xdr:colOff>420994</xdr:colOff>
      <xdr:row>4</xdr:row>
      <xdr:rowOff>87654</xdr:rowOff>
    </xdr:to>
    <xdr:grpSp>
      <xdr:nvGrpSpPr>
        <xdr:cNvPr id="134" name="Группа 133">
          <a:extLst>
            <a:ext uri="{FF2B5EF4-FFF2-40B4-BE49-F238E27FC236}">
              <a16:creationId xmlns:a16="http://schemas.microsoft.com/office/drawing/2014/main" id="{624B9900-4C4B-440B-B46A-790C593D80AD}"/>
            </a:ext>
          </a:extLst>
        </xdr:cNvPr>
        <xdr:cNvGrpSpPr>
          <a:grpSpLocks noChangeAspect="1"/>
        </xdr:cNvGrpSpPr>
      </xdr:nvGrpSpPr>
      <xdr:grpSpPr>
        <a:xfrm>
          <a:off x="4894483" y="251461"/>
          <a:ext cx="422361" cy="598193"/>
          <a:chOff x="7194469" y="5115484"/>
          <a:chExt cx="685782" cy="870226"/>
        </a:xfrm>
        <a:solidFill>
          <a:srgbClr val="0033CC"/>
        </a:solidFill>
      </xdr:grpSpPr>
      <xdr:sp macro="" textlink="">
        <xdr:nvSpPr>
          <xdr:cNvPr id="135" name="Полилиния 134">
            <a:extLst>
              <a:ext uri="{FF2B5EF4-FFF2-40B4-BE49-F238E27FC236}">
                <a16:creationId xmlns:a16="http://schemas.microsoft.com/office/drawing/2014/main" id="{256D3ABC-2448-4A55-9B13-62D744B5DF8F}"/>
              </a:ext>
            </a:extLst>
          </xdr:cNvPr>
          <xdr:cNvSpPr/>
        </xdr:nvSpPr>
        <xdr:spPr>
          <a:xfrm rot="18488263" flipV="1">
            <a:off x="7386075" y="5465009"/>
            <a:ext cx="136173" cy="13617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6" name="Полилиния 135">
            <a:extLst>
              <a:ext uri="{FF2B5EF4-FFF2-40B4-BE49-F238E27FC236}">
                <a16:creationId xmlns:a16="http://schemas.microsoft.com/office/drawing/2014/main" id="{C5AD240E-9CF8-405D-B4A3-A9DA9EBD1879}"/>
              </a:ext>
            </a:extLst>
          </xdr:cNvPr>
          <xdr:cNvSpPr/>
        </xdr:nvSpPr>
        <xdr:spPr>
          <a:xfrm rot="18394870" flipV="1">
            <a:off x="7234632" y="5288687"/>
            <a:ext cx="201330" cy="201330"/>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7" name="Полилиния 136">
            <a:extLst>
              <a:ext uri="{FF2B5EF4-FFF2-40B4-BE49-F238E27FC236}">
                <a16:creationId xmlns:a16="http://schemas.microsoft.com/office/drawing/2014/main" id="{B9A9DE39-2C72-4836-9296-39B92F3E1347}"/>
              </a:ext>
            </a:extLst>
          </xdr:cNvPr>
          <xdr:cNvSpPr/>
        </xdr:nvSpPr>
        <xdr:spPr>
          <a:xfrm rot="18590369" flipV="1">
            <a:off x="7597139" y="5451452"/>
            <a:ext cx="260692" cy="305533"/>
          </a:xfrm>
          <a:custGeom>
            <a:avLst/>
            <a:gdLst>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35071 w 1796535"/>
              <a:gd name="connsiteY25" fmla="*/ 599465 h 2105550"/>
              <a:gd name="connsiteX26" fmla="*/ 743761 w 1796535"/>
              <a:gd name="connsiteY26" fmla="*/ 598632 h 2105550"/>
              <a:gd name="connsiteX27" fmla="*/ 1064888 w 1796535"/>
              <a:gd name="connsiteY27" fmla="*/ 731647 h 2105550"/>
              <a:gd name="connsiteX28" fmla="*/ 1064888 w 1796535"/>
              <a:gd name="connsiteY28" fmla="*/ 1373903 h 2105550"/>
              <a:gd name="connsiteX29" fmla="*/ 493876 w 1796535"/>
              <a:gd name="connsiteY29" fmla="*/ 1432097 h 2105550"/>
              <a:gd name="connsiteX30" fmla="*/ 484968 w 1796535"/>
              <a:gd name="connsiteY30" fmla="*/ 1424821 h 2105550"/>
              <a:gd name="connsiteX31" fmla="*/ 184804 w 1796535"/>
              <a:gd name="connsiteY31" fmla="*/ 1740103 h 2105550"/>
              <a:gd name="connsiteX32" fmla="*/ 0 w 1796535"/>
              <a:gd name="connsiteY32" fmla="*/ 1744642 h 2105550"/>
              <a:gd name="connsiteX33" fmla="*/ 149989 w 1796535"/>
              <a:gd name="connsiteY33" fmla="*/ 1894631 h 2105550"/>
              <a:gd name="connsiteX34" fmla="*/ 226808 w 1796535"/>
              <a:gd name="connsiteY34" fmla="*/ 1894631 h 2105550"/>
              <a:gd name="connsiteX35" fmla="*/ 344262 w 1796535"/>
              <a:gd name="connsiteY35" fmla="*/ 1777177 h 2105550"/>
              <a:gd name="connsiteX36" fmla="*/ 358637 w 1796535"/>
              <a:gd name="connsiteY36" fmla="*/ 1786168 h 2105550"/>
              <a:gd name="connsiteX37" fmla="*/ 497123 w 1796535"/>
              <a:gd name="connsiteY37" fmla="*/ 1840452 h 2105550"/>
              <a:gd name="connsiteX38" fmla="*/ 497123 w 1796535"/>
              <a:gd name="connsiteY38" fmla="*/ 2051230 h 2105550"/>
              <a:gd name="connsiteX39" fmla="*/ 551443 w 1796535"/>
              <a:gd name="connsiteY39" fmla="*/ 2105550 h 2105550"/>
              <a:gd name="connsiteX40" fmla="*/ 902287 w 1796535"/>
              <a:gd name="connsiteY40" fmla="*/ 2105550 h 2105550"/>
              <a:gd name="connsiteX41" fmla="*/ 956607 w 1796535"/>
              <a:gd name="connsiteY41" fmla="*/ 2051230 h 2105550"/>
              <a:gd name="connsiteX42" fmla="*/ 956607 w 1796535"/>
              <a:gd name="connsiteY42" fmla="*/ 1848264 h 2105550"/>
              <a:gd name="connsiteX43" fmla="*/ 1055390 w 1796535"/>
              <a:gd name="connsiteY43" fmla="*/ 1820279 h 2105550"/>
              <a:gd name="connsiteX44" fmla="*/ 1141203 w 1796535"/>
              <a:gd name="connsiteY44" fmla="*/ 1775122 h 2105550"/>
              <a:gd name="connsiteX45" fmla="*/ 1290937 w 1796535"/>
              <a:gd name="connsiteY45" fmla="*/ 1924853 h 2105550"/>
              <a:gd name="connsiteX46" fmla="*/ 1367757 w 1796535"/>
              <a:gd name="connsiteY46" fmla="*/ 1924853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66225 w 1796535"/>
              <a:gd name="connsiteY24" fmla="*/ 553890 h 2105550"/>
              <a:gd name="connsiteX25" fmla="*/ 743761 w 1796535"/>
              <a:gd name="connsiteY25" fmla="*/ 598632 h 2105550"/>
              <a:gd name="connsiteX26" fmla="*/ 1064888 w 1796535"/>
              <a:gd name="connsiteY26" fmla="*/ 731647 h 2105550"/>
              <a:gd name="connsiteX27" fmla="*/ 1064888 w 1796535"/>
              <a:gd name="connsiteY27" fmla="*/ 1373903 h 2105550"/>
              <a:gd name="connsiteX28" fmla="*/ 493876 w 1796535"/>
              <a:gd name="connsiteY28" fmla="*/ 1432097 h 2105550"/>
              <a:gd name="connsiteX29" fmla="*/ 484968 w 1796535"/>
              <a:gd name="connsiteY29" fmla="*/ 1424821 h 2105550"/>
              <a:gd name="connsiteX30" fmla="*/ 184804 w 1796535"/>
              <a:gd name="connsiteY30" fmla="*/ 1740103 h 2105550"/>
              <a:gd name="connsiteX31" fmla="*/ 0 w 1796535"/>
              <a:gd name="connsiteY31" fmla="*/ 1744642 h 2105550"/>
              <a:gd name="connsiteX32" fmla="*/ 149989 w 1796535"/>
              <a:gd name="connsiteY32" fmla="*/ 1894631 h 2105550"/>
              <a:gd name="connsiteX33" fmla="*/ 226808 w 1796535"/>
              <a:gd name="connsiteY33" fmla="*/ 1894631 h 2105550"/>
              <a:gd name="connsiteX34" fmla="*/ 344262 w 1796535"/>
              <a:gd name="connsiteY34" fmla="*/ 1777177 h 2105550"/>
              <a:gd name="connsiteX35" fmla="*/ 358637 w 1796535"/>
              <a:gd name="connsiteY35" fmla="*/ 1786168 h 2105550"/>
              <a:gd name="connsiteX36" fmla="*/ 497123 w 1796535"/>
              <a:gd name="connsiteY36" fmla="*/ 1840452 h 2105550"/>
              <a:gd name="connsiteX37" fmla="*/ 497123 w 1796535"/>
              <a:gd name="connsiteY37" fmla="*/ 2051230 h 2105550"/>
              <a:gd name="connsiteX38" fmla="*/ 551443 w 1796535"/>
              <a:gd name="connsiteY38" fmla="*/ 2105550 h 2105550"/>
              <a:gd name="connsiteX39" fmla="*/ 902287 w 1796535"/>
              <a:gd name="connsiteY39" fmla="*/ 2105550 h 2105550"/>
              <a:gd name="connsiteX40" fmla="*/ 956607 w 1796535"/>
              <a:gd name="connsiteY40" fmla="*/ 2051230 h 2105550"/>
              <a:gd name="connsiteX41" fmla="*/ 956607 w 1796535"/>
              <a:gd name="connsiteY41" fmla="*/ 1848264 h 2105550"/>
              <a:gd name="connsiteX42" fmla="*/ 1055390 w 1796535"/>
              <a:gd name="connsiteY42" fmla="*/ 1820279 h 2105550"/>
              <a:gd name="connsiteX43" fmla="*/ 1141203 w 1796535"/>
              <a:gd name="connsiteY43" fmla="*/ 1775122 h 2105550"/>
              <a:gd name="connsiteX44" fmla="*/ 1290937 w 1796535"/>
              <a:gd name="connsiteY44" fmla="*/ 1924853 h 2105550"/>
              <a:gd name="connsiteX45" fmla="*/ 1367757 w 1796535"/>
              <a:gd name="connsiteY45" fmla="*/ 1924853 h 2105550"/>
              <a:gd name="connsiteX46" fmla="*/ 1615840 w 1796535"/>
              <a:gd name="connsiteY46" fmla="*/ 1676769 h 2105550"/>
              <a:gd name="connsiteX0" fmla="*/ 1615840 w 1796535"/>
              <a:gd name="connsiteY0" fmla="*/ 1676769 h 2105550"/>
              <a:gd name="connsiteX1" fmla="*/ 1615841 w 1796535"/>
              <a:gd name="connsiteY1" fmla="*/ 1599949 h 2105550"/>
              <a:gd name="connsiteX2" fmla="*/ 1466107 w 1796535"/>
              <a:gd name="connsiteY2" fmla="*/ 1450218 h 2105550"/>
              <a:gd name="connsiteX3" fmla="*/ 1511264 w 1796535"/>
              <a:gd name="connsiteY3" fmla="*/ 1364405 h 2105550"/>
              <a:gd name="connsiteX4" fmla="*/ 1539250 w 1796535"/>
              <a:gd name="connsiteY4" fmla="*/ 1265620 h 2105550"/>
              <a:gd name="connsiteX5" fmla="*/ 1742215 w 1796535"/>
              <a:gd name="connsiteY5" fmla="*/ 1265620 h 2105550"/>
              <a:gd name="connsiteX6" fmla="*/ 1796535 w 1796535"/>
              <a:gd name="connsiteY6" fmla="*/ 1211299 h 2105550"/>
              <a:gd name="connsiteX7" fmla="*/ 1796535 w 1796535"/>
              <a:gd name="connsiteY7" fmla="*/ 860456 h 2105550"/>
              <a:gd name="connsiteX8" fmla="*/ 1742215 w 1796535"/>
              <a:gd name="connsiteY8" fmla="*/ 806138 h 2105550"/>
              <a:gd name="connsiteX9" fmla="*/ 1531437 w 1796535"/>
              <a:gd name="connsiteY9" fmla="*/ 806136 h 2105550"/>
              <a:gd name="connsiteX10" fmla="*/ 1477153 w 1796535"/>
              <a:gd name="connsiteY10" fmla="*/ 667652 h 2105550"/>
              <a:gd name="connsiteX11" fmla="*/ 1468165 w 1796535"/>
              <a:gd name="connsiteY11" fmla="*/ 653277 h 2105550"/>
              <a:gd name="connsiteX12" fmla="*/ 1585616 w 1796535"/>
              <a:gd name="connsiteY12" fmla="*/ 535823 h 2105550"/>
              <a:gd name="connsiteX13" fmla="*/ 1585616 w 1796535"/>
              <a:gd name="connsiteY13" fmla="*/ 459003 h 2105550"/>
              <a:gd name="connsiteX14" fmla="*/ 1337531 w 1796535"/>
              <a:gd name="connsiteY14" fmla="*/ 210919 h 2105550"/>
              <a:gd name="connsiteX15" fmla="*/ 1260712 w 1796535"/>
              <a:gd name="connsiteY15" fmla="*/ 210920 h 2105550"/>
              <a:gd name="connsiteX16" fmla="*/ 1141203 w 1796535"/>
              <a:gd name="connsiteY16" fmla="*/ 330428 h 2105550"/>
              <a:gd name="connsiteX17" fmla="*/ 1055390 w 1796535"/>
              <a:gd name="connsiteY17" fmla="*/ 285274 h 2105550"/>
              <a:gd name="connsiteX18" fmla="*/ 990399 w 1796535"/>
              <a:gd name="connsiteY18" fmla="*/ 266011 h 2105550"/>
              <a:gd name="connsiteX19" fmla="*/ 990399 w 1796535"/>
              <a:gd name="connsiteY19" fmla="*/ 54320 h 2105550"/>
              <a:gd name="connsiteX20" fmla="*/ 936079 w 1796535"/>
              <a:gd name="connsiteY20" fmla="*/ 0 h 2105550"/>
              <a:gd name="connsiteX21" fmla="*/ 585235 w 1796535"/>
              <a:gd name="connsiteY21" fmla="*/ 0 h 2105550"/>
              <a:gd name="connsiteX22" fmla="*/ 565925 w 1796535"/>
              <a:gd name="connsiteY22" fmla="*/ 19311 h 2105550"/>
              <a:gd name="connsiteX23" fmla="*/ 680472 w 1796535"/>
              <a:gd name="connsiteY23" fmla="*/ 97613 h 2105550"/>
              <a:gd name="connsiteX24" fmla="*/ 743761 w 1796535"/>
              <a:gd name="connsiteY24" fmla="*/ 598632 h 2105550"/>
              <a:gd name="connsiteX25" fmla="*/ 1064888 w 1796535"/>
              <a:gd name="connsiteY25" fmla="*/ 731647 h 2105550"/>
              <a:gd name="connsiteX26" fmla="*/ 1064888 w 1796535"/>
              <a:gd name="connsiteY26" fmla="*/ 1373903 h 2105550"/>
              <a:gd name="connsiteX27" fmla="*/ 493876 w 1796535"/>
              <a:gd name="connsiteY27" fmla="*/ 1432097 h 2105550"/>
              <a:gd name="connsiteX28" fmla="*/ 484968 w 1796535"/>
              <a:gd name="connsiteY28" fmla="*/ 1424821 h 2105550"/>
              <a:gd name="connsiteX29" fmla="*/ 184804 w 1796535"/>
              <a:gd name="connsiteY29" fmla="*/ 1740103 h 2105550"/>
              <a:gd name="connsiteX30" fmla="*/ 0 w 1796535"/>
              <a:gd name="connsiteY30" fmla="*/ 1744642 h 2105550"/>
              <a:gd name="connsiteX31" fmla="*/ 149989 w 1796535"/>
              <a:gd name="connsiteY31" fmla="*/ 1894631 h 2105550"/>
              <a:gd name="connsiteX32" fmla="*/ 226808 w 1796535"/>
              <a:gd name="connsiteY32" fmla="*/ 1894631 h 2105550"/>
              <a:gd name="connsiteX33" fmla="*/ 344262 w 1796535"/>
              <a:gd name="connsiteY33" fmla="*/ 1777177 h 2105550"/>
              <a:gd name="connsiteX34" fmla="*/ 358637 w 1796535"/>
              <a:gd name="connsiteY34" fmla="*/ 1786168 h 2105550"/>
              <a:gd name="connsiteX35" fmla="*/ 497123 w 1796535"/>
              <a:gd name="connsiteY35" fmla="*/ 1840452 h 2105550"/>
              <a:gd name="connsiteX36" fmla="*/ 497123 w 1796535"/>
              <a:gd name="connsiteY36" fmla="*/ 2051230 h 2105550"/>
              <a:gd name="connsiteX37" fmla="*/ 551443 w 1796535"/>
              <a:gd name="connsiteY37" fmla="*/ 2105550 h 2105550"/>
              <a:gd name="connsiteX38" fmla="*/ 902287 w 1796535"/>
              <a:gd name="connsiteY38" fmla="*/ 2105550 h 2105550"/>
              <a:gd name="connsiteX39" fmla="*/ 956607 w 1796535"/>
              <a:gd name="connsiteY39" fmla="*/ 2051230 h 2105550"/>
              <a:gd name="connsiteX40" fmla="*/ 956607 w 1796535"/>
              <a:gd name="connsiteY40" fmla="*/ 1848264 h 2105550"/>
              <a:gd name="connsiteX41" fmla="*/ 1055390 w 1796535"/>
              <a:gd name="connsiteY41" fmla="*/ 1820279 h 2105550"/>
              <a:gd name="connsiteX42" fmla="*/ 1141203 w 1796535"/>
              <a:gd name="connsiteY42" fmla="*/ 1775122 h 2105550"/>
              <a:gd name="connsiteX43" fmla="*/ 1290937 w 1796535"/>
              <a:gd name="connsiteY43" fmla="*/ 1924853 h 2105550"/>
              <a:gd name="connsiteX44" fmla="*/ 1367757 w 1796535"/>
              <a:gd name="connsiteY44" fmla="*/ 1924853 h 2105550"/>
              <a:gd name="connsiteX45" fmla="*/ 1615840 w 1796535"/>
              <a:gd name="connsiteY45" fmla="*/ 1676769 h 21055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1796535" h="2105550">
                <a:moveTo>
                  <a:pt x="1615840" y="1676769"/>
                </a:moveTo>
                <a:cubicBezTo>
                  <a:pt x="1615840" y="1651162"/>
                  <a:pt x="1615841" y="1625556"/>
                  <a:pt x="1615841" y="1599949"/>
                </a:cubicBezTo>
                <a:lnTo>
                  <a:pt x="1466107" y="1450218"/>
                </a:lnTo>
                <a:lnTo>
                  <a:pt x="1511264" y="1364405"/>
                </a:lnTo>
                <a:lnTo>
                  <a:pt x="1539250" y="1265620"/>
                </a:lnTo>
                <a:lnTo>
                  <a:pt x="1742215" y="1265620"/>
                </a:lnTo>
                <a:lnTo>
                  <a:pt x="1796535" y="1211299"/>
                </a:lnTo>
                <a:lnTo>
                  <a:pt x="1796535" y="860456"/>
                </a:lnTo>
                <a:lnTo>
                  <a:pt x="1742215" y="806138"/>
                </a:lnTo>
                <a:lnTo>
                  <a:pt x="1531437" y="806136"/>
                </a:lnTo>
                <a:lnTo>
                  <a:pt x="1477153" y="667652"/>
                </a:lnTo>
                <a:lnTo>
                  <a:pt x="1468165" y="653277"/>
                </a:lnTo>
                <a:lnTo>
                  <a:pt x="1585616" y="535823"/>
                </a:lnTo>
                <a:lnTo>
                  <a:pt x="1585616" y="459003"/>
                </a:lnTo>
                <a:lnTo>
                  <a:pt x="1337531" y="210919"/>
                </a:lnTo>
                <a:lnTo>
                  <a:pt x="1260712" y="210920"/>
                </a:lnTo>
                <a:lnTo>
                  <a:pt x="1141203" y="330428"/>
                </a:lnTo>
                <a:lnTo>
                  <a:pt x="1055390" y="285274"/>
                </a:lnTo>
                <a:lnTo>
                  <a:pt x="990399" y="266011"/>
                </a:lnTo>
                <a:lnTo>
                  <a:pt x="990399" y="54320"/>
                </a:lnTo>
                <a:lnTo>
                  <a:pt x="936079" y="0"/>
                </a:lnTo>
                <a:lnTo>
                  <a:pt x="585235" y="0"/>
                </a:lnTo>
                <a:lnTo>
                  <a:pt x="565925" y="19311"/>
                </a:lnTo>
                <a:lnTo>
                  <a:pt x="680472" y="97613"/>
                </a:lnTo>
                <a:lnTo>
                  <a:pt x="743761" y="598632"/>
                </a:lnTo>
                <a:cubicBezTo>
                  <a:pt x="859986" y="598632"/>
                  <a:pt x="976211" y="642970"/>
                  <a:pt x="1064888" y="731647"/>
                </a:cubicBezTo>
                <a:cubicBezTo>
                  <a:pt x="1242244" y="909001"/>
                  <a:pt x="1242244" y="1196549"/>
                  <a:pt x="1064888" y="1373903"/>
                </a:cubicBezTo>
                <a:cubicBezTo>
                  <a:pt x="909704" y="1529087"/>
                  <a:pt x="670153" y="1548485"/>
                  <a:pt x="493876" y="1432097"/>
                </a:cubicBezTo>
                <a:lnTo>
                  <a:pt x="484968" y="1424821"/>
                </a:lnTo>
                <a:lnTo>
                  <a:pt x="184804" y="1740103"/>
                </a:lnTo>
                <a:lnTo>
                  <a:pt x="0" y="1744642"/>
                </a:lnTo>
                <a:lnTo>
                  <a:pt x="149989" y="1894631"/>
                </a:lnTo>
                <a:lnTo>
                  <a:pt x="226808" y="1894631"/>
                </a:lnTo>
                <a:lnTo>
                  <a:pt x="344262" y="1777177"/>
                </a:lnTo>
                <a:lnTo>
                  <a:pt x="358637" y="1786168"/>
                </a:lnTo>
                <a:lnTo>
                  <a:pt x="497123" y="1840452"/>
                </a:lnTo>
                <a:lnTo>
                  <a:pt x="497123" y="2051230"/>
                </a:lnTo>
                <a:lnTo>
                  <a:pt x="551443" y="2105550"/>
                </a:lnTo>
                <a:lnTo>
                  <a:pt x="902287" y="2105550"/>
                </a:lnTo>
                <a:lnTo>
                  <a:pt x="956607" y="2051230"/>
                </a:lnTo>
                <a:lnTo>
                  <a:pt x="956607" y="1848264"/>
                </a:lnTo>
                <a:lnTo>
                  <a:pt x="1055390" y="1820279"/>
                </a:lnTo>
                <a:lnTo>
                  <a:pt x="1141203" y="1775122"/>
                </a:lnTo>
                <a:lnTo>
                  <a:pt x="1290937" y="1924853"/>
                </a:lnTo>
                <a:lnTo>
                  <a:pt x="1367757" y="1924853"/>
                </a:lnTo>
                <a:lnTo>
                  <a:pt x="1615840" y="1676769"/>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8" name="Полилиния 137">
            <a:extLst>
              <a:ext uri="{FF2B5EF4-FFF2-40B4-BE49-F238E27FC236}">
                <a16:creationId xmlns:a16="http://schemas.microsoft.com/office/drawing/2014/main" id="{769329F4-6F81-4F31-B1F3-1E5DCD6A13CD}"/>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9" name="Полилиния 138">
            <a:extLst>
              <a:ext uri="{FF2B5EF4-FFF2-40B4-BE49-F238E27FC236}">
                <a16:creationId xmlns:a16="http://schemas.microsoft.com/office/drawing/2014/main" id="{04C0A57E-2FA1-4752-AC02-8780191ACDDD}"/>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0" name="Полилиния 139">
            <a:extLst>
              <a:ext uri="{FF2B5EF4-FFF2-40B4-BE49-F238E27FC236}">
                <a16:creationId xmlns:a16="http://schemas.microsoft.com/office/drawing/2014/main" id="{475A788A-3274-4FFB-8CEF-622A147895A2}"/>
              </a:ext>
            </a:extLst>
          </xdr:cNvPr>
          <xdr:cNvSpPr/>
        </xdr:nvSpPr>
        <xdr:spPr>
          <a:xfrm rot="18590369" flipV="1">
            <a:off x="7496776" y="5649405"/>
            <a:ext cx="305533" cy="305533"/>
          </a:xfrm>
          <a:custGeom>
            <a:avLst/>
            <a:gdLst>
              <a:gd name="connsiteX0" fmla="*/ 612337 w 938426"/>
              <a:gd name="connsiteY0" fmla="*/ 612337 h 938426"/>
              <a:gd name="connsiteX1" fmla="*/ 326089 w 938426"/>
              <a:gd name="connsiteY1" fmla="*/ 612337 h 938426"/>
              <a:gd name="connsiteX2" fmla="*/ 326089 w 938426"/>
              <a:gd name="connsiteY2" fmla="*/ 326089 h 938426"/>
              <a:gd name="connsiteX3" fmla="*/ 612337 w 938426"/>
              <a:gd name="connsiteY3" fmla="*/ 326089 h 938426"/>
              <a:gd name="connsiteX4" fmla="*/ 612337 w 938426"/>
              <a:gd name="connsiteY4" fmla="*/ 612337 h 938426"/>
              <a:gd name="connsiteX5" fmla="*/ 747323 w 938426"/>
              <a:gd name="connsiteY5" fmla="*/ 857891 h 938426"/>
              <a:gd name="connsiteX6" fmla="*/ 857892 w 938426"/>
              <a:gd name="connsiteY6" fmla="*/ 747322 h 938426"/>
              <a:gd name="connsiteX7" fmla="*/ 857892 w 938426"/>
              <a:gd name="connsiteY7" fmla="*/ 713084 h 938426"/>
              <a:gd name="connsiteX8" fmla="*/ 791157 w 938426"/>
              <a:gd name="connsiteY8" fmla="*/ 646350 h 938426"/>
              <a:gd name="connsiteX9" fmla="*/ 811283 w 938426"/>
              <a:gd name="connsiteY9" fmla="*/ 608104 h 938426"/>
              <a:gd name="connsiteX10" fmla="*/ 823756 w 938426"/>
              <a:gd name="connsiteY10" fmla="*/ 564076 h 938426"/>
              <a:gd name="connsiteX11" fmla="*/ 914216 w 938426"/>
              <a:gd name="connsiteY11" fmla="*/ 564076 h 938426"/>
              <a:gd name="connsiteX12" fmla="*/ 938426 w 938426"/>
              <a:gd name="connsiteY12" fmla="*/ 539866 h 938426"/>
              <a:gd name="connsiteX13" fmla="*/ 938426 w 938426"/>
              <a:gd name="connsiteY13" fmla="*/ 383498 h 938426"/>
              <a:gd name="connsiteX14" fmla="*/ 914216 w 938426"/>
              <a:gd name="connsiteY14" fmla="*/ 359289 h 938426"/>
              <a:gd name="connsiteX15" fmla="*/ 820274 w 938426"/>
              <a:gd name="connsiteY15" fmla="*/ 359288 h 938426"/>
              <a:gd name="connsiteX16" fmla="*/ 796080 w 938426"/>
              <a:gd name="connsiteY16" fmla="*/ 297567 h 938426"/>
              <a:gd name="connsiteX17" fmla="*/ 792074 w 938426"/>
              <a:gd name="connsiteY17" fmla="*/ 291160 h 938426"/>
              <a:gd name="connsiteX18" fmla="*/ 844421 w 938426"/>
              <a:gd name="connsiteY18" fmla="*/ 238812 h 938426"/>
              <a:gd name="connsiteX19" fmla="*/ 844421 w 938426"/>
              <a:gd name="connsiteY19" fmla="*/ 204574 h 938426"/>
              <a:gd name="connsiteX20" fmla="*/ 733852 w 938426"/>
              <a:gd name="connsiteY20" fmla="*/ 94005 h 938426"/>
              <a:gd name="connsiteX21" fmla="*/ 699614 w 938426"/>
              <a:gd name="connsiteY21" fmla="*/ 94005 h 938426"/>
              <a:gd name="connsiteX22" fmla="*/ 646350 w 938426"/>
              <a:gd name="connsiteY22" fmla="*/ 147269 h 938426"/>
              <a:gd name="connsiteX23" fmla="*/ 608104 w 938426"/>
              <a:gd name="connsiteY23" fmla="*/ 127144 h 938426"/>
              <a:gd name="connsiteX24" fmla="*/ 579138 w 938426"/>
              <a:gd name="connsiteY24" fmla="*/ 118559 h 938426"/>
              <a:gd name="connsiteX25" fmla="*/ 579138 w 938426"/>
              <a:gd name="connsiteY25" fmla="*/ 24210 h 938426"/>
              <a:gd name="connsiteX26" fmla="*/ 554928 w 938426"/>
              <a:gd name="connsiteY26" fmla="*/ 0 h 938426"/>
              <a:gd name="connsiteX27" fmla="*/ 398560 w 938426"/>
              <a:gd name="connsiteY27" fmla="*/ 0 h 938426"/>
              <a:gd name="connsiteX28" fmla="*/ 374350 w 938426"/>
              <a:gd name="connsiteY28" fmla="*/ 24210 h 938426"/>
              <a:gd name="connsiteX29" fmla="*/ 374350 w 938426"/>
              <a:gd name="connsiteY29" fmla="*/ 114096 h 938426"/>
              <a:gd name="connsiteX30" fmla="*/ 330322 w 938426"/>
              <a:gd name="connsiteY30" fmla="*/ 127144 h 938426"/>
              <a:gd name="connsiteX31" fmla="*/ 292077 w 938426"/>
              <a:gd name="connsiteY31" fmla="*/ 147269 h 938426"/>
              <a:gd name="connsiteX32" fmla="*/ 225342 w 938426"/>
              <a:gd name="connsiteY32" fmla="*/ 80535 h 938426"/>
              <a:gd name="connsiteX33" fmla="*/ 191104 w 938426"/>
              <a:gd name="connsiteY33" fmla="*/ 80535 h 938426"/>
              <a:gd name="connsiteX34" fmla="*/ 80535 w 938426"/>
              <a:gd name="connsiteY34" fmla="*/ 191104 h 938426"/>
              <a:gd name="connsiteX35" fmla="*/ 80535 w 938426"/>
              <a:gd name="connsiteY35" fmla="*/ 225342 h 938426"/>
              <a:gd name="connsiteX36" fmla="*/ 147270 w 938426"/>
              <a:gd name="connsiteY36" fmla="*/ 292076 h 938426"/>
              <a:gd name="connsiteX37" fmla="*/ 127144 w 938426"/>
              <a:gd name="connsiteY37" fmla="*/ 330322 h 938426"/>
              <a:gd name="connsiteX38" fmla="*/ 114670 w 938426"/>
              <a:gd name="connsiteY38" fmla="*/ 374350 h 938426"/>
              <a:gd name="connsiteX39" fmla="*/ 24210 w 938426"/>
              <a:gd name="connsiteY39" fmla="*/ 374350 h 938426"/>
              <a:gd name="connsiteX40" fmla="*/ 0 w 938426"/>
              <a:gd name="connsiteY40" fmla="*/ 398560 h 938426"/>
              <a:gd name="connsiteX41" fmla="*/ 0 w 938426"/>
              <a:gd name="connsiteY41" fmla="*/ 554928 h 938426"/>
              <a:gd name="connsiteX42" fmla="*/ 24210 w 938426"/>
              <a:gd name="connsiteY42" fmla="*/ 579138 h 938426"/>
              <a:gd name="connsiteX43" fmla="*/ 118153 w 938426"/>
              <a:gd name="connsiteY43" fmla="*/ 579138 h 938426"/>
              <a:gd name="connsiteX44" fmla="*/ 142346 w 938426"/>
              <a:gd name="connsiteY44" fmla="*/ 640859 h 938426"/>
              <a:gd name="connsiteX45" fmla="*/ 146353 w 938426"/>
              <a:gd name="connsiteY45" fmla="*/ 647266 h 938426"/>
              <a:gd name="connsiteX46" fmla="*/ 94005 w 938426"/>
              <a:gd name="connsiteY46" fmla="*/ 699614 h 938426"/>
              <a:gd name="connsiteX47" fmla="*/ 94005 w 938426"/>
              <a:gd name="connsiteY47" fmla="*/ 733852 h 938426"/>
              <a:gd name="connsiteX48" fmla="*/ 204574 w 938426"/>
              <a:gd name="connsiteY48" fmla="*/ 844421 h 938426"/>
              <a:gd name="connsiteX49" fmla="*/ 238812 w 938426"/>
              <a:gd name="connsiteY49" fmla="*/ 844421 h 938426"/>
              <a:gd name="connsiteX50" fmla="*/ 291160 w 938426"/>
              <a:gd name="connsiteY50" fmla="*/ 792073 h 938426"/>
              <a:gd name="connsiteX51" fmla="*/ 297567 w 938426"/>
              <a:gd name="connsiteY51" fmla="*/ 796080 h 938426"/>
              <a:gd name="connsiteX52" fmla="*/ 359289 w 938426"/>
              <a:gd name="connsiteY52" fmla="*/ 820274 h 938426"/>
              <a:gd name="connsiteX53" fmla="*/ 359289 w 938426"/>
              <a:gd name="connsiteY53" fmla="*/ 914216 h 938426"/>
              <a:gd name="connsiteX54" fmla="*/ 383499 w 938426"/>
              <a:gd name="connsiteY54" fmla="*/ 938426 h 938426"/>
              <a:gd name="connsiteX55" fmla="*/ 539867 w 938426"/>
              <a:gd name="connsiteY55" fmla="*/ 938426 h 938426"/>
              <a:gd name="connsiteX56" fmla="*/ 564077 w 938426"/>
              <a:gd name="connsiteY56" fmla="*/ 914216 h 938426"/>
              <a:gd name="connsiteX57" fmla="*/ 564077 w 938426"/>
              <a:gd name="connsiteY57" fmla="*/ 823756 h 938426"/>
              <a:gd name="connsiteX58" fmla="*/ 608104 w 938426"/>
              <a:gd name="connsiteY58" fmla="*/ 811283 h 938426"/>
              <a:gd name="connsiteX59" fmla="*/ 646350 w 938426"/>
              <a:gd name="connsiteY59" fmla="*/ 791157 h 938426"/>
              <a:gd name="connsiteX60" fmla="*/ 713085 w 938426"/>
              <a:gd name="connsiteY60" fmla="*/ 857891 h 9384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38426" h="938426">
                <a:moveTo>
                  <a:pt x="612337" y="612337"/>
                </a:moveTo>
                <a:cubicBezTo>
                  <a:pt x="533292" y="691382"/>
                  <a:pt x="405135" y="691382"/>
                  <a:pt x="326089" y="612337"/>
                </a:cubicBezTo>
                <a:cubicBezTo>
                  <a:pt x="247044" y="533292"/>
                  <a:pt x="247044" y="405134"/>
                  <a:pt x="326089" y="326089"/>
                </a:cubicBezTo>
                <a:cubicBezTo>
                  <a:pt x="405135" y="247044"/>
                  <a:pt x="533292" y="247044"/>
                  <a:pt x="612337" y="326089"/>
                </a:cubicBezTo>
                <a:cubicBezTo>
                  <a:pt x="691383" y="405134"/>
                  <a:pt x="691383" y="533292"/>
                  <a:pt x="612337" y="612337"/>
                </a:cubicBezTo>
                <a:close/>
                <a:moveTo>
                  <a:pt x="747323" y="857891"/>
                </a:moveTo>
                <a:lnTo>
                  <a:pt x="857892" y="747322"/>
                </a:lnTo>
                <a:lnTo>
                  <a:pt x="857892" y="713084"/>
                </a:lnTo>
                <a:lnTo>
                  <a:pt x="791157" y="646350"/>
                </a:lnTo>
                <a:lnTo>
                  <a:pt x="811283" y="608104"/>
                </a:lnTo>
                <a:lnTo>
                  <a:pt x="823756" y="564076"/>
                </a:lnTo>
                <a:lnTo>
                  <a:pt x="914216" y="564076"/>
                </a:lnTo>
                <a:lnTo>
                  <a:pt x="938426" y="539866"/>
                </a:lnTo>
                <a:lnTo>
                  <a:pt x="938426" y="383498"/>
                </a:lnTo>
                <a:lnTo>
                  <a:pt x="914216" y="359289"/>
                </a:lnTo>
                <a:lnTo>
                  <a:pt x="820274" y="359288"/>
                </a:lnTo>
                <a:lnTo>
                  <a:pt x="796080" y="297567"/>
                </a:lnTo>
                <a:lnTo>
                  <a:pt x="792074" y="291160"/>
                </a:lnTo>
                <a:lnTo>
                  <a:pt x="844421" y="238812"/>
                </a:lnTo>
                <a:lnTo>
                  <a:pt x="844421" y="204574"/>
                </a:lnTo>
                <a:lnTo>
                  <a:pt x="733852" y="94005"/>
                </a:lnTo>
                <a:lnTo>
                  <a:pt x="699614" y="94005"/>
                </a:lnTo>
                <a:lnTo>
                  <a:pt x="646350" y="147269"/>
                </a:lnTo>
                <a:lnTo>
                  <a:pt x="608104" y="127144"/>
                </a:lnTo>
                <a:lnTo>
                  <a:pt x="579138" y="118559"/>
                </a:lnTo>
                <a:lnTo>
                  <a:pt x="579138" y="24210"/>
                </a:lnTo>
                <a:lnTo>
                  <a:pt x="554928" y="0"/>
                </a:lnTo>
                <a:lnTo>
                  <a:pt x="398560" y="0"/>
                </a:lnTo>
                <a:lnTo>
                  <a:pt x="374350" y="24210"/>
                </a:lnTo>
                <a:lnTo>
                  <a:pt x="374350" y="114096"/>
                </a:lnTo>
                <a:lnTo>
                  <a:pt x="330322" y="127144"/>
                </a:lnTo>
                <a:lnTo>
                  <a:pt x="292077" y="147269"/>
                </a:lnTo>
                <a:lnTo>
                  <a:pt x="225342" y="80535"/>
                </a:lnTo>
                <a:lnTo>
                  <a:pt x="191104" y="80535"/>
                </a:lnTo>
                <a:lnTo>
                  <a:pt x="80535" y="191104"/>
                </a:lnTo>
                <a:lnTo>
                  <a:pt x="80535" y="225342"/>
                </a:lnTo>
                <a:lnTo>
                  <a:pt x="147270" y="292076"/>
                </a:lnTo>
                <a:lnTo>
                  <a:pt x="127144" y="330322"/>
                </a:lnTo>
                <a:lnTo>
                  <a:pt x="114670" y="374350"/>
                </a:lnTo>
                <a:lnTo>
                  <a:pt x="24210" y="374350"/>
                </a:lnTo>
                <a:lnTo>
                  <a:pt x="0" y="398560"/>
                </a:lnTo>
                <a:lnTo>
                  <a:pt x="0" y="554928"/>
                </a:lnTo>
                <a:lnTo>
                  <a:pt x="24210" y="579138"/>
                </a:lnTo>
                <a:lnTo>
                  <a:pt x="118153" y="579138"/>
                </a:lnTo>
                <a:lnTo>
                  <a:pt x="142346" y="640859"/>
                </a:lnTo>
                <a:lnTo>
                  <a:pt x="146353" y="647266"/>
                </a:lnTo>
                <a:lnTo>
                  <a:pt x="94005" y="699614"/>
                </a:lnTo>
                <a:lnTo>
                  <a:pt x="94005" y="733852"/>
                </a:lnTo>
                <a:lnTo>
                  <a:pt x="204574" y="844421"/>
                </a:lnTo>
                <a:lnTo>
                  <a:pt x="238812" y="844421"/>
                </a:lnTo>
                <a:lnTo>
                  <a:pt x="291160" y="792073"/>
                </a:lnTo>
                <a:lnTo>
                  <a:pt x="297567" y="796080"/>
                </a:lnTo>
                <a:lnTo>
                  <a:pt x="359289" y="820274"/>
                </a:lnTo>
                <a:lnTo>
                  <a:pt x="359289" y="914216"/>
                </a:lnTo>
                <a:lnTo>
                  <a:pt x="383499" y="938426"/>
                </a:lnTo>
                <a:lnTo>
                  <a:pt x="539867" y="938426"/>
                </a:lnTo>
                <a:lnTo>
                  <a:pt x="564077" y="914216"/>
                </a:lnTo>
                <a:lnTo>
                  <a:pt x="564077" y="823756"/>
                </a:lnTo>
                <a:lnTo>
                  <a:pt x="608104" y="811283"/>
                </a:lnTo>
                <a:lnTo>
                  <a:pt x="646350" y="791157"/>
                </a:lnTo>
                <a:lnTo>
                  <a:pt x="713085" y="857891"/>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1" name="Полилиния 140">
            <a:extLst>
              <a:ext uri="{FF2B5EF4-FFF2-40B4-BE49-F238E27FC236}">
                <a16:creationId xmlns:a16="http://schemas.microsoft.com/office/drawing/2014/main" id="{FC620331-2A2F-4339-AAD6-2E40CC45D47D}"/>
              </a:ext>
            </a:extLst>
          </xdr:cNvPr>
          <xdr:cNvSpPr/>
        </xdr:nvSpPr>
        <xdr:spPr>
          <a:xfrm>
            <a:off x="7194482" y="5507581"/>
            <a:ext cx="246888" cy="478129"/>
          </a:xfrm>
          <a:custGeom>
            <a:avLst/>
            <a:gdLst>
              <a:gd name="connsiteX0" fmla="*/ 219137 w 246888"/>
              <a:gd name="connsiteY0" fmla="*/ 411073 h 478129"/>
              <a:gd name="connsiteX1" fmla="*/ 208069 w 246888"/>
              <a:gd name="connsiteY1" fmla="*/ 438878 h 478129"/>
              <a:gd name="connsiteX2" fmla="*/ 218921 w 246888"/>
              <a:gd name="connsiteY2" fmla="*/ 465064 h 478129"/>
              <a:gd name="connsiteX3" fmla="*/ 229503 w 246888"/>
              <a:gd name="connsiteY3" fmla="*/ 438068 h 478129"/>
              <a:gd name="connsiteX4" fmla="*/ 219137 w 246888"/>
              <a:gd name="connsiteY4" fmla="*/ 411073 h 478129"/>
              <a:gd name="connsiteX5" fmla="*/ 28399 w 246888"/>
              <a:gd name="connsiteY5" fmla="*/ 411073 h 478129"/>
              <a:gd name="connsiteX6" fmla="*/ 17331 w 246888"/>
              <a:gd name="connsiteY6" fmla="*/ 438878 h 478129"/>
              <a:gd name="connsiteX7" fmla="*/ 28183 w 246888"/>
              <a:gd name="connsiteY7" fmla="*/ 465064 h 478129"/>
              <a:gd name="connsiteX8" fmla="*/ 38765 w 246888"/>
              <a:gd name="connsiteY8" fmla="*/ 438068 h 478129"/>
              <a:gd name="connsiteX9" fmla="*/ 28399 w 246888"/>
              <a:gd name="connsiteY9" fmla="*/ 411073 h 478129"/>
              <a:gd name="connsiteX10" fmla="*/ 219893 w 246888"/>
              <a:gd name="connsiteY10" fmla="*/ 398061 h 478129"/>
              <a:gd name="connsiteX11" fmla="*/ 246888 w 246888"/>
              <a:gd name="connsiteY11" fmla="*/ 437528 h 478129"/>
              <a:gd name="connsiteX12" fmla="*/ 239519 w 246888"/>
              <a:gd name="connsiteY12" fmla="*/ 467655 h 478129"/>
              <a:gd name="connsiteX13" fmla="*/ 218381 w 246888"/>
              <a:gd name="connsiteY13" fmla="*/ 478129 h 478129"/>
              <a:gd name="connsiteX14" fmla="*/ 190738 w 246888"/>
              <a:gd name="connsiteY14" fmla="*/ 439310 h 478129"/>
              <a:gd name="connsiteX15" fmla="*/ 198216 w 246888"/>
              <a:gd name="connsiteY15" fmla="*/ 408616 h 478129"/>
              <a:gd name="connsiteX16" fmla="*/ 219893 w 246888"/>
              <a:gd name="connsiteY16" fmla="*/ 398061 h 478129"/>
              <a:gd name="connsiteX17" fmla="*/ 165600 w 246888"/>
              <a:gd name="connsiteY17" fmla="*/ 398061 h 478129"/>
              <a:gd name="connsiteX18" fmla="*/ 165600 w 246888"/>
              <a:gd name="connsiteY18" fmla="*/ 463282 h 478129"/>
              <a:gd name="connsiteX19" fmla="*/ 181527 w 246888"/>
              <a:gd name="connsiteY19" fmla="*/ 463282 h 478129"/>
              <a:gd name="connsiteX20" fmla="*/ 181527 w 246888"/>
              <a:gd name="connsiteY20" fmla="*/ 476779 h 478129"/>
              <a:gd name="connsiteX21" fmla="*/ 132558 w 246888"/>
              <a:gd name="connsiteY21" fmla="*/ 476779 h 478129"/>
              <a:gd name="connsiteX22" fmla="*/ 132558 w 246888"/>
              <a:gd name="connsiteY22" fmla="*/ 463282 h 478129"/>
              <a:gd name="connsiteX23" fmla="*/ 148593 w 246888"/>
              <a:gd name="connsiteY23" fmla="*/ 463282 h 478129"/>
              <a:gd name="connsiteX24" fmla="*/ 148593 w 246888"/>
              <a:gd name="connsiteY24" fmla="*/ 415068 h 478129"/>
              <a:gd name="connsiteX25" fmla="*/ 132126 w 246888"/>
              <a:gd name="connsiteY25" fmla="*/ 418632 h 478129"/>
              <a:gd name="connsiteX26" fmla="*/ 132126 w 246888"/>
              <a:gd name="connsiteY26" fmla="*/ 404810 h 478129"/>
              <a:gd name="connsiteX27" fmla="*/ 102021 w 246888"/>
              <a:gd name="connsiteY27" fmla="*/ 398061 h 478129"/>
              <a:gd name="connsiteX28" fmla="*/ 102021 w 246888"/>
              <a:gd name="connsiteY28" fmla="*/ 463282 h 478129"/>
              <a:gd name="connsiteX29" fmla="*/ 117948 w 246888"/>
              <a:gd name="connsiteY29" fmla="*/ 463282 h 478129"/>
              <a:gd name="connsiteX30" fmla="*/ 117948 w 246888"/>
              <a:gd name="connsiteY30" fmla="*/ 476779 h 478129"/>
              <a:gd name="connsiteX31" fmla="*/ 68979 w 246888"/>
              <a:gd name="connsiteY31" fmla="*/ 476779 h 478129"/>
              <a:gd name="connsiteX32" fmla="*/ 68979 w 246888"/>
              <a:gd name="connsiteY32" fmla="*/ 463282 h 478129"/>
              <a:gd name="connsiteX33" fmla="*/ 85014 w 246888"/>
              <a:gd name="connsiteY33" fmla="*/ 463282 h 478129"/>
              <a:gd name="connsiteX34" fmla="*/ 85014 w 246888"/>
              <a:gd name="connsiteY34" fmla="*/ 415068 h 478129"/>
              <a:gd name="connsiteX35" fmla="*/ 68547 w 246888"/>
              <a:gd name="connsiteY35" fmla="*/ 418632 h 478129"/>
              <a:gd name="connsiteX36" fmla="*/ 68547 w 246888"/>
              <a:gd name="connsiteY36" fmla="*/ 404810 h 478129"/>
              <a:gd name="connsiteX37" fmla="*/ 29155 w 246888"/>
              <a:gd name="connsiteY37" fmla="*/ 398061 h 478129"/>
              <a:gd name="connsiteX38" fmla="*/ 56150 w 246888"/>
              <a:gd name="connsiteY38" fmla="*/ 437528 h 478129"/>
              <a:gd name="connsiteX39" fmla="*/ 48780 w 246888"/>
              <a:gd name="connsiteY39" fmla="*/ 467655 h 478129"/>
              <a:gd name="connsiteX40" fmla="*/ 27643 w 246888"/>
              <a:gd name="connsiteY40" fmla="*/ 478129 h 478129"/>
              <a:gd name="connsiteX41" fmla="*/ 0 w 246888"/>
              <a:gd name="connsiteY41" fmla="*/ 439310 h 478129"/>
              <a:gd name="connsiteX42" fmla="*/ 7477 w 246888"/>
              <a:gd name="connsiteY42" fmla="*/ 408616 h 478129"/>
              <a:gd name="connsiteX43" fmla="*/ 29155 w 246888"/>
              <a:gd name="connsiteY43" fmla="*/ 398061 h 478129"/>
              <a:gd name="connsiteX44" fmla="*/ 155558 w 246888"/>
              <a:gd name="connsiteY44" fmla="*/ 278385 h 478129"/>
              <a:gd name="connsiteX45" fmla="*/ 144490 w 246888"/>
              <a:gd name="connsiteY45" fmla="*/ 306191 h 478129"/>
              <a:gd name="connsiteX46" fmla="*/ 155342 w 246888"/>
              <a:gd name="connsiteY46" fmla="*/ 332376 h 478129"/>
              <a:gd name="connsiteX47" fmla="*/ 165924 w 246888"/>
              <a:gd name="connsiteY47" fmla="*/ 305381 h 478129"/>
              <a:gd name="connsiteX48" fmla="*/ 155558 w 246888"/>
              <a:gd name="connsiteY48" fmla="*/ 278385 h 478129"/>
              <a:gd name="connsiteX49" fmla="*/ 91979 w 246888"/>
              <a:gd name="connsiteY49" fmla="*/ 278385 h 478129"/>
              <a:gd name="connsiteX50" fmla="*/ 80911 w 246888"/>
              <a:gd name="connsiteY50" fmla="*/ 306191 h 478129"/>
              <a:gd name="connsiteX51" fmla="*/ 91763 w 246888"/>
              <a:gd name="connsiteY51" fmla="*/ 332376 h 478129"/>
              <a:gd name="connsiteX52" fmla="*/ 102345 w 246888"/>
              <a:gd name="connsiteY52" fmla="*/ 305381 h 478129"/>
              <a:gd name="connsiteX53" fmla="*/ 91979 w 246888"/>
              <a:gd name="connsiteY53" fmla="*/ 278385 h 478129"/>
              <a:gd name="connsiteX54" fmla="*/ 28399 w 246888"/>
              <a:gd name="connsiteY54" fmla="*/ 278385 h 478129"/>
              <a:gd name="connsiteX55" fmla="*/ 17331 w 246888"/>
              <a:gd name="connsiteY55" fmla="*/ 306191 h 478129"/>
              <a:gd name="connsiteX56" fmla="*/ 28183 w 246888"/>
              <a:gd name="connsiteY56" fmla="*/ 332376 h 478129"/>
              <a:gd name="connsiteX57" fmla="*/ 38765 w 246888"/>
              <a:gd name="connsiteY57" fmla="*/ 305381 h 478129"/>
              <a:gd name="connsiteX58" fmla="*/ 28399 w 246888"/>
              <a:gd name="connsiteY58" fmla="*/ 278385 h 478129"/>
              <a:gd name="connsiteX59" fmla="*/ 229179 w 246888"/>
              <a:gd name="connsiteY59" fmla="*/ 265374 h 478129"/>
              <a:gd name="connsiteX60" fmla="*/ 229179 w 246888"/>
              <a:gd name="connsiteY60" fmla="*/ 330594 h 478129"/>
              <a:gd name="connsiteX61" fmla="*/ 245106 w 246888"/>
              <a:gd name="connsiteY61" fmla="*/ 330594 h 478129"/>
              <a:gd name="connsiteX62" fmla="*/ 245106 w 246888"/>
              <a:gd name="connsiteY62" fmla="*/ 344092 h 478129"/>
              <a:gd name="connsiteX63" fmla="*/ 196137 w 246888"/>
              <a:gd name="connsiteY63" fmla="*/ 344092 h 478129"/>
              <a:gd name="connsiteX64" fmla="*/ 196137 w 246888"/>
              <a:gd name="connsiteY64" fmla="*/ 330594 h 478129"/>
              <a:gd name="connsiteX65" fmla="*/ 212172 w 246888"/>
              <a:gd name="connsiteY65" fmla="*/ 330594 h 478129"/>
              <a:gd name="connsiteX66" fmla="*/ 212172 w 246888"/>
              <a:gd name="connsiteY66" fmla="*/ 282381 h 478129"/>
              <a:gd name="connsiteX67" fmla="*/ 195705 w 246888"/>
              <a:gd name="connsiteY67" fmla="*/ 285944 h 478129"/>
              <a:gd name="connsiteX68" fmla="*/ 195705 w 246888"/>
              <a:gd name="connsiteY68" fmla="*/ 272122 h 478129"/>
              <a:gd name="connsiteX69" fmla="*/ 156314 w 246888"/>
              <a:gd name="connsiteY69" fmla="*/ 265374 h 478129"/>
              <a:gd name="connsiteX70" fmla="*/ 183309 w 246888"/>
              <a:gd name="connsiteY70" fmla="*/ 304841 h 478129"/>
              <a:gd name="connsiteX71" fmla="*/ 175939 w 246888"/>
              <a:gd name="connsiteY71" fmla="*/ 334968 h 478129"/>
              <a:gd name="connsiteX72" fmla="*/ 154802 w 246888"/>
              <a:gd name="connsiteY72" fmla="*/ 345442 h 478129"/>
              <a:gd name="connsiteX73" fmla="*/ 127159 w 246888"/>
              <a:gd name="connsiteY73" fmla="*/ 306622 h 478129"/>
              <a:gd name="connsiteX74" fmla="*/ 134636 w 246888"/>
              <a:gd name="connsiteY74" fmla="*/ 275929 h 478129"/>
              <a:gd name="connsiteX75" fmla="*/ 156314 w 246888"/>
              <a:gd name="connsiteY75" fmla="*/ 265374 h 478129"/>
              <a:gd name="connsiteX76" fmla="*/ 92735 w 246888"/>
              <a:gd name="connsiteY76" fmla="*/ 265374 h 478129"/>
              <a:gd name="connsiteX77" fmla="*/ 119730 w 246888"/>
              <a:gd name="connsiteY77" fmla="*/ 304841 h 478129"/>
              <a:gd name="connsiteX78" fmla="*/ 112360 w 246888"/>
              <a:gd name="connsiteY78" fmla="*/ 334968 h 478129"/>
              <a:gd name="connsiteX79" fmla="*/ 91223 w 246888"/>
              <a:gd name="connsiteY79" fmla="*/ 345442 h 478129"/>
              <a:gd name="connsiteX80" fmla="*/ 63580 w 246888"/>
              <a:gd name="connsiteY80" fmla="*/ 306622 h 478129"/>
              <a:gd name="connsiteX81" fmla="*/ 71057 w 246888"/>
              <a:gd name="connsiteY81" fmla="*/ 275929 h 478129"/>
              <a:gd name="connsiteX82" fmla="*/ 92735 w 246888"/>
              <a:gd name="connsiteY82" fmla="*/ 265374 h 478129"/>
              <a:gd name="connsiteX83" fmla="*/ 29155 w 246888"/>
              <a:gd name="connsiteY83" fmla="*/ 265374 h 478129"/>
              <a:gd name="connsiteX84" fmla="*/ 56150 w 246888"/>
              <a:gd name="connsiteY84" fmla="*/ 304841 h 478129"/>
              <a:gd name="connsiteX85" fmla="*/ 48780 w 246888"/>
              <a:gd name="connsiteY85" fmla="*/ 334968 h 478129"/>
              <a:gd name="connsiteX86" fmla="*/ 27643 w 246888"/>
              <a:gd name="connsiteY86" fmla="*/ 345442 h 478129"/>
              <a:gd name="connsiteX87" fmla="*/ 0 w 246888"/>
              <a:gd name="connsiteY87" fmla="*/ 306622 h 478129"/>
              <a:gd name="connsiteX88" fmla="*/ 7477 w 246888"/>
              <a:gd name="connsiteY88" fmla="*/ 275929 h 478129"/>
              <a:gd name="connsiteX89" fmla="*/ 29155 w 246888"/>
              <a:gd name="connsiteY89" fmla="*/ 265374 h 478129"/>
              <a:gd name="connsiteX90" fmla="*/ 219137 w 246888"/>
              <a:gd name="connsiteY90" fmla="*/ 145698 h 478129"/>
              <a:gd name="connsiteX91" fmla="*/ 208069 w 246888"/>
              <a:gd name="connsiteY91" fmla="*/ 173504 h 478129"/>
              <a:gd name="connsiteX92" fmla="*/ 218921 w 246888"/>
              <a:gd name="connsiteY92" fmla="*/ 199689 h 478129"/>
              <a:gd name="connsiteX93" fmla="*/ 229503 w 246888"/>
              <a:gd name="connsiteY93" fmla="*/ 172694 h 478129"/>
              <a:gd name="connsiteX94" fmla="*/ 219137 w 246888"/>
              <a:gd name="connsiteY94" fmla="*/ 145698 h 478129"/>
              <a:gd name="connsiteX95" fmla="*/ 28399 w 246888"/>
              <a:gd name="connsiteY95" fmla="*/ 145698 h 478129"/>
              <a:gd name="connsiteX96" fmla="*/ 17331 w 246888"/>
              <a:gd name="connsiteY96" fmla="*/ 173504 h 478129"/>
              <a:gd name="connsiteX97" fmla="*/ 28183 w 246888"/>
              <a:gd name="connsiteY97" fmla="*/ 199689 h 478129"/>
              <a:gd name="connsiteX98" fmla="*/ 38765 w 246888"/>
              <a:gd name="connsiteY98" fmla="*/ 172694 h 478129"/>
              <a:gd name="connsiteX99" fmla="*/ 28399 w 246888"/>
              <a:gd name="connsiteY99" fmla="*/ 145698 h 478129"/>
              <a:gd name="connsiteX100" fmla="*/ 219893 w 246888"/>
              <a:gd name="connsiteY100" fmla="*/ 132687 h 478129"/>
              <a:gd name="connsiteX101" fmla="*/ 246888 w 246888"/>
              <a:gd name="connsiteY101" fmla="*/ 172154 h 478129"/>
              <a:gd name="connsiteX102" fmla="*/ 239519 w 246888"/>
              <a:gd name="connsiteY102" fmla="*/ 202281 h 478129"/>
              <a:gd name="connsiteX103" fmla="*/ 218381 w 246888"/>
              <a:gd name="connsiteY103" fmla="*/ 212755 h 478129"/>
              <a:gd name="connsiteX104" fmla="*/ 190738 w 246888"/>
              <a:gd name="connsiteY104" fmla="*/ 173935 h 478129"/>
              <a:gd name="connsiteX105" fmla="*/ 198216 w 246888"/>
              <a:gd name="connsiteY105" fmla="*/ 143242 h 478129"/>
              <a:gd name="connsiteX106" fmla="*/ 219893 w 246888"/>
              <a:gd name="connsiteY106" fmla="*/ 132687 h 478129"/>
              <a:gd name="connsiteX107" fmla="*/ 165600 w 246888"/>
              <a:gd name="connsiteY107" fmla="*/ 132687 h 478129"/>
              <a:gd name="connsiteX108" fmla="*/ 165600 w 246888"/>
              <a:gd name="connsiteY108" fmla="*/ 197907 h 478129"/>
              <a:gd name="connsiteX109" fmla="*/ 181527 w 246888"/>
              <a:gd name="connsiteY109" fmla="*/ 197907 h 478129"/>
              <a:gd name="connsiteX110" fmla="*/ 181527 w 246888"/>
              <a:gd name="connsiteY110" fmla="*/ 211405 h 478129"/>
              <a:gd name="connsiteX111" fmla="*/ 132558 w 246888"/>
              <a:gd name="connsiteY111" fmla="*/ 211405 h 478129"/>
              <a:gd name="connsiteX112" fmla="*/ 132558 w 246888"/>
              <a:gd name="connsiteY112" fmla="*/ 197907 h 478129"/>
              <a:gd name="connsiteX113" fmla="*/ 148593 w 246888"/>
              <a:gd name="connsiteY113" fmla="*/ 197907 h 478129"/>
              <a:gd name="connsiteX114" fmla="*/ 148593 w 246888"/>
              <a:gd name="connsiteY114" fmla="*/ 149694 h 478129"/>
              <a:gd name="connsiteX115" fmla="*/ 132126 w 246888"/>
              <a:gd name="connsiteY115" fmla="*/ 153257 h 478129"/>
              <a:gd name="connsiteX116" fmla="*/ 132126 w 246888"/>
              <a:gd name="connsiteY116" fmla="*/ 139435 h 478129"/>
              <a:gd name="connsiteX117" fmla="*/ 102021 w 246888"/>
              <a:gd name="connsiteY117" fmla="*/ 132687 h 478129"/>
              <a:gd name="connsiteX118" fmla="*/ 102021 w 246888"/>
              <a:gd name="connsiteY118" fmla="*/ 197907 h 478129"/>
              <a:gd name="connsiteX119" fmla="*/ 117948 w 246888"/>
              <a:gd name="connsiteY119" fmla="*/ 197907 h 478129"/>
              <a:gd name="connsiteX120" fmla="*/ 117948 w 246888"/>
              <a:gd name="connsiteY120" fmla="*/ 211405 h 478129"/>
              <a:gd name="connsiteX121" fmla="*/ 68979 w 246888"/>
              <a:gd name="connsiteY121" fmla="*/ 211405 h 478129"/>
              <a:gd name="connsiteX122" fmla="*/ 68979 w 246888"/>
              <a:gd name="connsiteY122" fmla="*/ 197907 h 478129"/>
              <a:gd name="connsiteX123" fmla="*/ 85014 w 246888"/>
              <a:gd name="connsiteY123" fmla="*/ 197907 h 478129"/>
              <a:gd name="connsiteX124" fmla="*/ 85014 w 246888"/>
              <a:gd name="connsiteY124" fmla="*/ 149694 h 478129"/>
              <a:gd name="connsiteX125" fmla="*/ 68547 w 246888"/>
              <a:gd name="connsiteY125" fmla="*/ 153257 h 478129"/>
              <a:gd name="connsiteX126" fmla="*/ 68547 w 246888"/>
              <a:gd name="connsiteY126" fmla="*/ 139435 h 478129"/>
              <a:gd name="connsiteX127" fmla="*/ 29155 w 246888"/>
              <a:gd name="connsiteY127" fmla="*/ 132687 h 478129"/>
              <a:gd name="connsiteX128" fmla="*/ 56150 w 246888"/>
              <a:gd name="connsiteY128" fmla="*/ 172154 h 478129"/>
              <a:gd name="connsiteX129" fmla="*/ 48780 w 246888"/>
              <a:gd name="connsiteY129" fmla="*/ 202281 h 478129"/>
              <a:gd name="connsiteX130" fmla="*/ 27643 w 246888"/>
              <a:gd name="connsiteY130" fmla="*/ 212755 h 478129"/>
              <a:gd name="connsiteX131" fmla="*/ 0 w 246888"/>
              <a:gd name="connsiteY131" fmla="*/ 173935 h 478129"/>
              <a:gd name="connsiteX132" fmla="*/ 7477 w 246888"/>
              <a:gd name="connsiteY132" fmla="*/ 143242 h 478129"/>
              <a:gd name="connsiteX133" fmla="*/ 29155 w 246888"/>
              <a:gd name="connsiteY133" fmla="*/ 132687 h 478129"/>
              <a:gd name="connsiteX134" fmla="*/ 28399 w 246888"/>
              <a:gd name="connsiteY134" fmla="*/ 13011 h 478129"/>
              <a:gd name="connsiteX135" fmla="*/ 17331 w 246888"/>
              <a:gd name="connsiteY135" fmla="*/ 40817 h 478129"/>
              <a:gd name="connsiteX136" fmla="*/ 28183 w 246888"/>
              <a:gd name="connsiteY136" fmla="*/ 67002 h 478129"/>
              <a:gd name="connsiteX137" fmla="*/ 38765 w 246888"/>
              <a:gd name="connsiteY137" fmla="*/ 40007 h 478129"/>
              <a:gd name="connsiteX138" fmla="*/ 28399 w 246888"/>
              <a:gd name="connsiteY138" fmla="*/ 13011 h 478129"/>
              <a:gd name="connsiteX139" fmla="*/ 102021 w 246888"/>
              <a:gd name="connsiteY139" fmla="*/ 0 h 478129"/>
              <a:gd name="connsiteX140" fmla="*/ 102021 w 246888"/>
              <a:gd name="connsiteY140" fmla="*/ 65220 h 478129"/>
              <a:gd name="connsiteX141" fmla="*/ 117948 w 246888"/>
              <a:gd name="connsiteY141" fmla="*/ 65220 h 478129"/>
              <a:gd name="connsiteX142" fmla="*/ 117948 w 246888"/>
              <a:gd name="connsiteY142" fmla="*/ 78718 h 478129"/>
              <a:gd name="connsiteX143" fmla="*/ 68979 w 246888"/>
              <a:gd name="connsiteY143" fmla="*/ 78718 h 478129"/>
              <a:gd name="connsiteX144" fmla="*/ 68979 w 246888"/>
              <a:gd name="connsiteY144" fmla="*/ 65220 h 478129"/>
              <a:gd name="connsiteX145" fmla="*/ 85014 w 246888"/>
              <a:gd name="connsiteY145" fmla="*/ 65220 h 478129"/>
              <a:gd name="connsiteX146" fmla="*/ 85014 w 246888"/>
              <a:gd name="connsiteY146" fmla="*/ 17007 h 478129"/>
              <a:gd name="connsiteX147" fmla="*/ 68547 w 246888"/>
              <a:gd name="connsiteY147" fmla="*/ 20570 h 478129"/>
              <a:gd name="connsiteX148" fmla="*/ 68547 w 246888"/>
              <a:gd name="connsiteY148" fmla="*/ 6748 h 478129"/>
              <a:gd name="connsiteX149" fmla="*/ 29155 w 246888"/>
              <a:gd name="connsiteY149" fmla="*/ 0 h 478129"/>
              <a:gd name="connsiteX150" fmla="*/ 56150 w 246888"/>
              <a:gd name="connsiteY150" fmla="*/ 39467 h 478129"/>
              <a:gd name="connsiteX151" fmla="*/ 48780 w 246888"/>
              <a:gd name="connsiteY151" fmla="*/ 69594 h 478129"/>
              <a:gd name="connsiteX152" fmla="*/ 27643 w 246888"/>
              <a:gd name="connsiteY152" fmla="*/ 80068 h 478129"/>
              <a:gd name="connsiteX153" fmla="*/ 0 w 246888"/>
              <a:gd name="connsiteY153" fmla="*/ 41248 h 478129"/>
              <a:gd name="connsiteX154" fmla="*/ 7477 w 246888"/>
              <a:gd name="connsiteY154" fmla="*/ 10555 h 478129"/>
              <a:gd name="connsiteX155" fmla="*/ 29155 w 246888"/>
              <a:gd name="connsiteY155" fmla="*/ 0 h 4781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Lst>
            <a:rect l="l" t="t" r="r" b="b"/>
            <a:pathLst>
              <a:path w="246888" h="478129">
                <a:moveTo>
                  <a:pt x="219137" y="411073"/>
                </a:moveTo>
                <a:cubicBezTo>
                  <a:pt x="211758" y="411073"/>
                  <a:pt x="208069" y="420341"/>
                  <a:pt x="208069" y="438878"/>
                </a:cubicBezTo>
                <a:cubicBezTo>
                  <a:pt x="208069" y="456335"/>
                  <a:pt x="211686" y="465064"/>
                  <a:pt x="218921" y="465064"/>
                </a:cubicBezTo>
                <a:cubicBezTo>
                  <a:pt x="225976" y="465064"/>
                  <a:pt x="229503" y="456065"/>
                  <a:pt x="229503" y="438068"/>
                </a:cubicBezTo>
                <a:cubicBezTo>
                  <a:pt x="229503" y="420071"/>
                  <a:pt x="226048" y="411073"/>
                  <a:pt x="219137" y="411073"/>
                </a:cubicBezTo>
                <a:close/>
                <a:moveTo>
                  <a:pt x="28399" y="411073"/>
                </a:moveTo>
                <a:cubicBezTo>
                  <a:pt x="21020" y="411073"/>
                  <a:pt x="17331" y="420341"/>
                  <a:pt x="17331" y="438878"/>
                </a:cubicBezTo>
                <a:cubicBezTo>
                  <a:pt x="17331" y="456335"/>
                  <a:pt x="20948" y="465064"/>
                  <a:pt x="28183" y="465064"/>
                </a:cubicBezTo>
                <a:cubicBezTo>
                  <a:pt x="35238" y="465064"/>
                  <a:pt x="38765" y="456065"/>
                  <a:pt x="38765" y="438068"/>
                </a:cubicBezTo>
                <a:cubicBezTo>
                  <a:pt x="38765" y="420071"/>
                  <a:pt x="35309" y="411073"/>
                  <a:pt x="28399" y="411073"/>
                </a:cubicBezTo>
                <a:close/>
                <a:moveTo>
                  <a:pt x="219893" y="398061"/>
                </a:moveTo>
                <a:cubicBezTo>
                  <a:pt x="237890" y="398061"/>
                  <a:pt x="246888" y="411217"/>
                  <a:pt x="246888" y="437528"/>
                </a:cubicBezTo>
                <a:cubicBezTo>
                  <a:pt x="246888" y="450630"/>
                  <a:pt x="244432" y="460672"/>
                  <a:pt x="239519" y="467655"/>
                </a:cubicBezTo>
                <a:cubicBezTo>
                  <a:pt x="234605" y="474638"/>
                  <a:pt x="227560" y="478129"/>
                  <a:pt x="218381" y="478129"/>
                </a:cubicBezTo>
                <a:cubicBezTo>
                  <a:pt x="199953" y="478129"/>
                  <a:pt x="190738" y="465190"/>
                  <a:pt x="190738" y="439310"/>
                </a:cubicBezTo>
                <a:cubicBezTo>
                  <a:pt x="190738" y="425884"/>
                  <a:pt x="193231" y="415653"/>
                  <a:pt x="198216" y="408616"/>
                </a:cubicBezTo>
                <a:cubicBezTo>
                  <a:pt x="203201" y="401580"/>
                  <a:pt x="210427" y="398061"/>
                  <a:pt x="219893" y="398061"/>
                </a:cubicBezTo>
                <a:close/>
                <a:moveTo>
                  <a:pt x="165600" y="398061"/>
                </a:moveTo>
                <a:lnTo>
                  <a:pt x="165600" y="463282"/>
                </a:lnTo>
                <a:lnTo>
                  <a:pt x="181527" y="463282"/>
                </a:lnTo>
                <a:lnTo>
                  <a:pt x="181527" y="476779"/>
                </a:lnTo>
                <a:lnTo>
                  <a:pt x="132558" y="476779"/>
                </a:lnTo>
                <a:lnTo>
                  <a:pt x="132558" y="463282"/>
                </a:lnTo>
                <a:lnTo>
                  <a:pt x="148593" y="463282"/>
                </a:lnTo>
                <a:lnTo>
                  <a:pt x="148593" y="415068"/>
                </a:lnTo>
                <a:lnTo>
                  <a:pt x="132126" y="418632"/>
                </a:lnTo>
                <a:lnTo>
                  <a:pt x="132126" y="404810"/>
                </a:lnTo>
                <a:close/>
                <a:moveTo>
                  <a:pt x="102021" y="398061"/>
                </a:moveTo>
                <a:lnTo>
                  <a:pt x="102021" y="463282"/>
                </a:lnTo>
                <a:lnTo>
                  <a:pt x="117948" y="463282"/>
                </a:lnTo>
                <a:lnTo>
                  <a:pt x="117948" y="476779"/>
                </a:lnTo>
                <a:lnTo>
                  <a:pt x="68979" y="476779"/>
                </a:lnTo>
                <a:lnTo>
                  <a:pt x="68979" y="463282"/>
                </a:lnTo>
                <a:lnTo>
                  <a:pt x="85014" y="463282"/>
                </a:lnTo>
                <a:lnTo>
                  <a:pt x="85014" y="415068"/>
                </a:lnTo>
                <a:lnTo>
                  <a:pt x="68547" y="418632"/>
                </a:lnTo>
                <a:lnTo>
                  <a:pt x="68547" y="404810"/>
                </a:lnTo>
                <a:close/>
                <a:moveTo>
                  <a:pt x="29155" y="398061"/>
                </a:moveTo>
                <a:cubicBezTo>
                  <a:pt x="47151" y="398061"/>
                  <a:pt x="56150" y="411217"/>
                  <a:pt x="56150" y="437528"/>
                </a:cubicBezTo>
                <a:cubicBezTo>
                  <a:pt x="56150" y="450630"/>
                  <a:pt x="53693" y="460672"/>
                  <a:pt x="48780" y="467655"/>
                </a:cubicBezTo>
                <a:cubicBezTo>
                  <a:pt x="43867" y="474638"/>
                  <a:pt x="36821" y="478129"/>
                  <a:pt x="27643" y="478129"/>
                </a:cubicBezTo>
                <a:cubicBezTo>
                  <a:pt x="9214" y="478129"/>
                  <a:pt x="0" y="465190"/>
                  <a:pt x="0" y="439310"/>
                </a:cubicBezTo>
                <a:cubicBezTo>
                  <a:pt x="0" y="425884"/>
                  <a:pt x="2492" y="415653"/>
                  <a:pt x="7477" y="408616"/>
                </a:cubicBezTo>
                <a:cubicBezTo>
                  <a:pt x="12463" y="401580"/>
                  <a:pt x="19688" y="398061"/>
                  <a:pt x="29155" y="398061"/>
                </a:cubicBezTo>
                <a:close/>
                <a:moveTo>
                  <a:pt x="155558" y="278385"/>
                </a:moveTo>
                <a:cubicBezTo>
                  <a:pt x="148179" y="278385"/>
                  <a:pt x="144490" y="287654"/>
                  <a:pt x="144490" y="306191"/>
                </a:cubicBezTo>
                <a:cubicBezTo>
                  <a:pt x="144490" y="323647"/>
                  <a:pt x="148107" y="332376"/>
                  <a:pt x="155342" y="332376"/>
                </a:cubicBezTo>
                <a:cubicBezTo>
                  <a:pt x="162397" y="332376"/>
                  <a:pt x="165924" y="323378"/>
                  <a:pt x="165924" y="305381"/>
                </a:cubicBezTo>
                <a:cubicBezTo>
                  <a:pt x="165924" y="287384"/>
                  <a:pt x="162468" y="278385"/>
                  <a:pt x="155558" y="278385"/>
                </a:cubicBezTo>
                <a:close/>
                <a:moveTo>
                  <a:pt x="91979" y="278385"/>
                </a:moveTo>
                <a:cubicBezTo>
                  <a:pt x="84600" y="278385"/>
                  <a:pt x="80911" y="287654"/>
                  <a:pt x="80911" y="306191"/>
                </a:cubicBezTo>
                <a:cubicBezTo>
                  <a:pt x="80911" y="323647"/>
                  <a:pt x="84528" y="332376"/>
                  <a:pt x="91763" y="332376"/>
                </a:cubicBezTo>
                <a:cubicBezTo>
                  <a:pt x="98818" y="332376"/>
                  <a:pt x="102345" y="323378"/>
                  <a:pt x="102345" y="305381"/>
                </a:cubicBezTo>
                <a:cubicBezTo>
                  <a:pt x="102345" y="287384"/>
                  <a:pt x="98889" y="278385"/>
                  <a:pt x="91979" y="278385"/>
                </a:cubicBezTo>
                <a:close/>
                <a:moveTo>
                  <a:pt x="28399" y="278385"/>
                </a:moveTo>
                <a:cubicBezTo>
                  <a:pt x="21020" y="278385"/>
                  <a:pt x="17331" y="287654"/>
                  <a:pt x="17331" y="306191"/>
                </a:cubicBezTo>
                <a:cubicBezTo>
                  <a:pt x="17331" y="323647"/>
                  <a:pt x="20948" y="332376"/>
                  <a:pt x="28183" y="332376"/>
                </a:cubicBezTo>
                <a:cubicBezTo>
                  <a:pt x="35238" y="332376"/>
                  <a:pt x="38765" y="323378"/>
                  <a:pt x="38765" y="305381"/>
                </a:cubicBezTo>
                <a:cubicBezTo>
                  <a:pt x="38765" y="287384"/>
                  <a:pt x="35309" y="278385"/>
                  <a:pt x="28399" y="278385"/>
                </a:cubicBezTo>
                <a:close/>
                <a:moveTo>
                  <a:pt x="229179" y="265374"/>
                </a:moveTo>
                <a:lnTo>
                  <a:pt x="229179" y="330594"/>
                </a:lnTo>
                <a:lnTo>
                  <a:pt x="245106" y="330594"/>
                </a:lnTo>
                <a:lnTo>
                  <a:pt x="245106" y="344092"/>
                </a:lnTo>
                <a:lnTo>
                  <a:pt x="196137" y="344092"/>
                </a:lnTo>
                <a:lnTo>
                  <a:pt x="196137" y="330594"/>
                </a:lnTo>
                <a:lnTo>
                  <a:pt x="212172" y="330594"/>
                </a:lnTo>
                <a:lnTo>
                  <a:pt x="212172" y="282381"/>
                </a:lnTo>
                <a:lnTo>
                  <a:pt x="195705" y="285944"/>
                </a:lnTo>
                <a:lnTo>
                  <a:pt x="195705" y="272122"/>
                </a:lnTo>
                <a:close/>
                <a:moveTo>
                  <a:pt x="156314" y="265374"/>
                </a:moveTo>
                <a:cubicBezTo>
                  <a:pt x="174310" y="265374"/>
                  <a:pt x="183309" y="278529"/>
                  <a:pt x="183309" y="304841"/>
                </a:cubicBezTo>
                <a:cubicBezTo>
                  <a:pt x="183309" y="317943"/>
                  <a:pt x="180852" y="327985"/>
                  <a:pt x="175939" y="334968"/>
                </a:cubicBezTo>
                <a:cubicBezTo>
                  <a:pt x="171026" y="341950"/>
                  <a:pt x="163980" y="345442"/>
                  <a:pt x="154802" y="345442"/>
                </a:cubicBezTo>
                <a:cubicBezTo>
                  <a:pt x="136373" y="345442"/>
                  <a:pt x="127159" y="332502"/>
                  <a:pt x="127159" y="306622"/>
                </a:cubicBezTo>
                <a:cubicBezTo>
                  <a:pt x="127159" y="293197"/>
                  <a:pt x="129651" y="282966"/>
                  <a:pt x="134636" y="275929"/>
                </a:cubicBezTo>
                <a:cubicBezTo>
                  <a:pt x="139622" y="268892"/>
                  <a:pt x="146847" y="265374"/>
                  <a:pt x="156314" y="265374"/>
                </a:cubicBezTo>
                <a:close/>
                <a:moveTo>
                  <a:pt x="92735" y="265374"/>
                </a:moveTo>
                <a:cubicBezTo>
                  <a:pt x="110731" y="265374"/>
                  <a:pt x="119730" y="278529"/>
                  <a:pt x="119730" y="304841"/>
                </a:cubicBezTo>
                <a:cubicBezTo>
                  <a:pt x="119730" y="317943"/>
                  <a:pt x="117273" y="327985"/>
                  <a:pt x="112360" y="334968"/>
                </a:cubicBezTo>
                <a:cubicBezTo>
                  <a:pt x="107447" y="341950"/>
                  <a:pt x="100401" y="345442"/>
                  <a:pt x="91223" y="345442"/>
                </a:cubicBezTo>
                <a:cubicBezTo>
                  <a:pt x="72794" y="345442"/>
                  <a:pt x="63580" y="332502"/>
                  <a:pt x="63580" y="306622"/>
                </a:cubicBezTo>
                <a:cubicBezTo>
                  <a:pt x="63580" y="293197"/>
                  <a:pt x="66072" y="282966"/>
                  <a:pt x="71057" y="275929"/>
                </a:cubicBezTo>
                <a:cubicBezTo>
                  <a:pt x="76043" y="268892"/>
                  <a:pt x="83268" y="265374"/>
                  <a:pt x="92735" y="265374"/>
                </a:cubicBezTo>
                <a:close/>
                <a:moveTo>
                  <a:pt x="29155" y="265374"/>
                </a:moveTo>
                <a:cubicBezTo>
                  <a:pt x="47151" y="265374"/>
                  <a:pt x="56150" y="278529"/>
                  <a:pt x="56150" y="304841"/>
                </a:cubicBezTo>
                <a:cubicBezTo>
                  <a:pt x="56150" y="317943"/>
                  <a:pt x="53693" y="327985"/>
                  <a:pt x="48780" y="334968"/>
                </a:cubicBezTo>
                <a:cubicBezTo>
                  <a:pt x="43867" y="341950"/>
                  <a:pt x="36821" y="345442"/>
                  <a:pt x="27643" y="345442"/>
                </a:cubicBezTo>
                <a:cubicBezTo>
                  <a:pt x="9214" y="345442"/>
                  <a:pt x="0" y="332502"/>
                  <a:pt x="0" y="306622"/>
                </a:cubicBezTo>
                <a:cubicBezTo>
                  <a:pt x="0" y="293197"/>
                  <a:pt x="2492" y="282966"/>
                  <a:pt x="7477" y="275929"/>
                </a:cubicBezTo>
                <a:cubicBezTo>
                  <a:pt x="12463" y="268892"/>
                  <a:pt x="19688" y="265374"/>
                  <a:pt x="29155" y="265374"/>
                </a:cubicBezTo>
                <a:close/>
                <a:moveTo>
                  <a:pt x="219137" y="145698"/>
                </a:moveTo>
                <a:cubicBezTo>
                  <a:pt x="211758" y="145698"/>
                  <a:pt x="208069" y="154967"/>
                  <a:pt x="208069" y="173504"/>
                </a:cubicBezTo>
                <a:cubicBezTo>
                  <a:pt x="208069" y="190961"/>
                  <a:pt x="211686" y="199689"/>
                  <a:pt x="218921" y="199689"/>
                </a:cubicBezTo>
                <a:cubicBezTo>
                  <a:pt x="225976" y="199689"/>
                  <a:pt x="229503" y="190691"/>
                  <a:pt x="229503" y="172694"/>
                </a:cubicBezTo>
                <a:cubicBezTo>
                  <a:pt x="229503" y="154697"/>
                  <a:pt x="226048" y="145698"/>
                  <a:pt x="219137" y="145698"/>
                </a:cubicBezTo>
                <a:close/>
                <a:moveTo>
                  <a:pt x="28399" y="145698"/>
                </a:moveTo>
                <a:cubicBezTo>
                  <a:pt x="21020" y="145698"/>
                  <a:pt x="17331" y="154967"/>
                  <a:pt x="17331" y="173504"/>
                </a:cubicBezTo>
                <a:cubicBezTo>
                  <a:pt x="17331" y="190961"/>
                  <a:pt x="20948" y="199689"/>
                  <a:pt x="28183" y="199689"/>
                </a:cubicBezTo>
                <a:cubicBezTo>
                  <a:pt x="35238" y="199689"/>
                  <a:pt x="38765" y="190691"/>
                  <a:pt x="38765" y="172694"/>
                </a:cubicBezTo>
                <a:cubicBezTo>
                  <a:pt x="38765" y="154697"/>
                  <a:pt x="35309" y="145698"/>
                  <a:pt x="28399" y="145698"/>
                </a:cubicBezTo>
                <a:close/>
                <a:moveTo>
                  <a:pt x="219893" y="132687"/>
                </a:moveTo>
                <a:cubicBezTo>
                  <a:pt x="237890" y="132687"/>
                  <a:pt x="246888" y="145842"/>
                  <a:pt x="246888" y="172154"/>
                </a:cubicBezTo>
                <a:cubicBezTo>
                  <a:pt x="246888" y="185256"/>
                  <a:pt x="244432" y="195298"/>
                  <a:pt x="239519" y="202281"/>
                </a:cubicBezTo>
                <a:cubicBezTo>
                  <a:pt x="234605" y="209263"/>
                  <a:pt x="227560" y="212755"/>
                  <a:pt x="218381" y="212755"/>
                </a:cubicBezTo>
                <a:cubicBezTo>
                  <a:pt x="199953" y="212755"/>
                  <a:pt x="190738" y="199815"/>
                  <a:pt x="190738" y="173935"/>
                </a:cubicBezTo>
                <a:cubicBezTo>
                  <a:pt x="190738" y="160510"/>
                  <a:pt x="193231" y="150279"/>
                  <a:pt x="198216" y="143242"/>
                </a:cubicBezTo>
                <a:cubicBezTo>
                  <a:pt x="203201" y="136205"/>
                  <a:pt x="210427" y="132687"/>
                  <a:pt x="219893" y="132687"/>
                </a:cubicBezTo>
                <a:close/>
                <a:moveTo>
                  <a:pt x="165600" y="132687"/>
                </a:moveTo>
                <a:lnTo>
                  <a:pt x="165600" y="197907"/>
                </a:lnTo>
                <a:lnTo>
                  <a:pt x="181527" y="197907"/>
                </a:lnTo>
                <a:lnTo>
                  <a:pt x="181527" y="211405"/>
                </a:lnTo>
                <a:lnTo>
                  <a:pt x="132558" y="211405"/>
                </a:lnTo>
                <a:lnTo>
                  <a:pt x="132558" y="197907"/>
                </a:lnTo>
                <a:lnTo>
                  <a:pt x="148593" y="197907"/>
                </a:lnTo>
                <a:lnTo>
                  <a:pt x="148593" y="149694"/>
                </a:lnTo>
                <a:lnTo>
                  <a:pt x="132126" y="153257"/>
                </a:lnTo>
                <a:lnTo>
                  <a:pt x="132126" y="139435"/>
                </a:lnTo>
                <a:close/>
                <a:moveTo>
                  <a:pt x="102021" y="132687"/>
                </a:moveTo>
                <a:lnTo>
                  <a:pt x="102021" y="197907"/>
                </a:lnTo>
                <a:lnTo>
                  <a:pt x="117948" y="197907"/>
                </a:lnTo>
                <a:lnTo>
                  <a:pt x="117948" y="211405"/>
                </a:lnTo>
                <a:lnTo>
                  <a:pt x="68979" y="211405"/>
                </a:lnTo>
                <a:lnTo>
                  <a:pt x="68979" y="197907"/>
                </a:lnTo>
                <a:lnTo>
                  <a:pt x="85014" y="197907"/>
                </a:lnTo>
                <a:lnTo>
                  <a:pt x="85014" y="149694"/>
                </a:lnTo>
                <a:lnTo>
                  <a:pt x="68547" y="153257"/>
                </a:lnTo>
                <a:lnTo>
                  <a:pt x="68547" y="139435"/>
                </a:lnTo>
                <a:close/>
                <a:moveTo>
                  <a:pt x="29155" y="132687"/>
                </a:moveTo>
                <a:cubicBezTo>
                  <a:pt x="47151" y="132687"/>
                  <a:pt x="56150" y="145842"/>
                  <a:pt x="56150" y="172154"/>
                </a:cubicBezTo>
                <a:cubicBezTo>
                  <a:pt x="56150" y="185256"/>
                  <a:pt x="53693" y="195298"/>
                  <a:pt x="48780" y="202281"/>
                </a:cubicBezTo>
                <a:cubicBezTo>
                  <a:pt x="43867" y="209263"/>
                  <a:pt x="36821" y="212755"/>
                  <a:pt x="27643" y="212755"/>
                </a:cubicBezTo>
                <a:cubicBezTo>
                  <a:pt x="9214" y="212755"/>
                  <a:pt x="0" y="199815"/>
                  <a:pt x="0" y="173935"/>
                </a:cubicBezTo>
                <a:cubicBezTo>
                  <a:pt x="0" y="160510"/>
                  <a:pt x="2492" y="150279"/>
                  <a:pt x="7477" y="143242"/>
                </a:cubicBezTo>
                <a:cubicBezTo>
                  <a:pt x="12463" y="136205"/>
                  <a:pt x="19688" y="132687"/>
                  <a:pt x="29155" y="132687"/>
                </a:cubicBezTo>
                <a:close/>
                <a:moveTo>
                  <a:pt x="28399" y="13011"/>
                </a:moveTo>
                <a:cubicBezTo>
                  <a:pt x="21020" y="13011"/>
                  <a:pt x="17331" y="22280"/>
                  <a:pt x="17331" y="40817"/>
                </a:cubicBezTo>
                <a:cubicBezTo>
                  <a:pt x="17331" y="58274"/>
                  <a:pt x="20948" y="67002"/>
                  <a:pt x="28183" y="67002"/>
                </a:cubicBezTo>
                <a:cubicBezTo>
                  <a:pt x="35238" y="67002"/>
                  <a:pt x="38765" y="58004"/>
                  <a:pt x="38765" y="40007"/>
                </a:cubicBezTo>
                <a:cubicBezTo>
                  <a:pt x="38765" y="22010"/>
                  <a:pt x="35309" y="13011"/>
                  <a:pt x="28399" y="13011"/>
                </a:cubicBezTo>
                <a:close/>
                <a:moveTo>
                  <a:pt x="102021" y="0"/>
                </a:moveTo>
                <a:lnTo>
                  <a:pt x="102021" y="65220"/>
                </a:lnTo>
                <a:lnTo>
                  <a:pt x="117948" y="65220"/>
                </a:lnTo>
                <a:lnTo>
                  <a:pt x="117948" y="78718"/>
                </a:lnTo>
                <a:lnTo>
                  <a:pt x="68979" y="78718"/>
                </a:lnTo>
                <a:lnTo>
                  <a:pt x="68979" y="65220"/>
                </a:lnTo>
                <a:lnTo>
                  <a:pt x="85014" y="65220"/>
                </a:lnTo>
                <a:lnTo>
                  <a:pt x="85014" y="17007"/>
                </a:lnTo>
                <a:lnTo>
                  <a:pt x="68547" y="20570"/>
                </a:lnTo>
                <a:lnTo>
                  <a:pt x="68547" y="6748"/>
                </a:lnTo>
                <a:close/>
                <a:moveTo>
                  <a:pt x="29155" y="0"/>
                </a:moveTo>
                <a:cubicBezTo>
                  <a:pt x="47151" y="0"/>
                  <a:pt x="56150" y="13155"/>
                  <a:pt x="56150" y="39467"/>
                </a:cubicBezTo>
                <a:cubicBezTo>
                  <a:pt x="56150" y="52569"/>
                  <a:pt x="53693" y="62611"/>
                  <a:pt x="48780" y="69594"/>
                </a:cubicBezTo>
                <a:cubicBezTo>
                  <a:pt x="43867" y="76576"/>
                  <a:pt x="36821" y="80068"/>
                  <a:pt x="27643" y="80068"/>
                </a:cubicBezTo>
                <a:cubicBezTo>
                  <a:pt x="9214" y="80068"/>
                  <a:pt x="0" y="67128"/>
                  <a:pt x="0" y="41248"/>
                </a:cubicBezTo>
                <a:cubicBezTo>
                  <a:pt x="0" y="27823"/>
                  <a:pt x="2492" y="17592"/>
                  <a:pt x="7477" y="10555"/>
                </a:cubicBezTo>
                <a:cubicBezTo>
                  <a:pt x="12463" y="3518"/>
                  <a:pt x="19688" y="0"/>
                  <a:pt x="29155"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2" name="Полилиния 141">
            <a:extLst>
              <a:ext uri="{FF2B5EF4-FFF2-40B4-BE49-F238E27FC236}">
                <a16:creationId xmlns:a16="http://schemas.microsoft.com/office/drawing/2014/main" id="{D273FF65-EA1A-453A-824A-E3EF66E3DE65}"/>
              </a:ext>
            </a:extLst>
          </xdr:cNvPr>
          <xdr:cNvSpPr/>
        </xdr:nvSpPr>
        <xdr:spPr>
          <a:xfrm>
            <a:off x="7453766" y="5905642"/>
            <a:ext cx="49401" cy="78718"/>
          </a:xfrm>
          <a:custGeom>
            <a:avLst/>
            <a:gdLst>
              <a:gd name="connsiteX0" fmla="*/ 230683 w 340444"/>
              <a:gd name="connsiteY0" fmla="*/ 0 h 542479"/>
              <a:gd name="connsiteX1" fmla="*/ 230683 w 340444"/>
              <a:gd name="connsiteY1" fmla="*/ 449461 h 542479"/>
              <a:gd name="connsiteX2" fmla="*/ 340444 w 340444"/>
              <a:gd name="connsiteY2" fmla="*/ 449461 h 542479"/>
              <a:gd name="connsiteX3" fmla="*/ 340444 w 340444"/>
              <a:gd name="connsiteY3" fmla="*/ 542479 h 542479"/>
              <a:gd name="connsiteX4" fmla="*/ 2976 w 340444"/>
              <a:gd name="connsiteY4" fmla="*/ 542479 h 542479"/>
              <a:gd name="connsiteX5" fmla="*/ 2976 w 340444"/>
              <a:gd name="connsiteY5" fmla="*/ 449461 h 542479"/>
              <a:gd name="connsiteX6" fmla="*/ 113481 w 340444"/>
              <a:gd name="connsiteY6" fmla="*/ 449461 h 542479"/>
              <a:gd name="connsiteX7" fmla="*/ 113481 w 340444"/>
              <a:gd name="connsiteY7" fmla="*/ 117203 h 542479"/>
              <a:gd name="connsiteX8" fmla="*/ 0 w 340444"/>
              <a:gd name="connsiteY8" fmla="*/ 141759 h 542479"/>
              <a:gd name="connsiteX9" fmla="*/ 0 w 340444"/>
              <a:gd name="connsiteY9" fmla="*/ 46509 h 542479"/>
              <a:gd name="connsiteX10" fmla="*/ 230683 w 340444"/>
              <a:gd name="connsiteY10" fmla="*/ 0 h 5424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340444" h="542479">
                <a:moveTo>
                  <a:pt x="230683" y="0"/>
                </a:moveTo>
                <a:lnTo>
                  <a:pt x="230683" y="449461"/>
                </a:lnTo>
                <a:lnTo>
                  <a:pt x="340444" y="449461"/>
                </a:lnTo>
                <a:lnTo>
                  <a:pt x="340444" y="542479"/>
                </a:lnTo>
                <a:lnTo>
                  <a:pt x="2976" y="542479"/>
                </a:lnTo>
                <a:lnTo>
                  <a:pt x="2976" y="449461"/>
                </a:lnTo>
                <a:lnTo>
                  <a:pt x="113481" y="449461"/>
                </a:lnTo>
                <a:lnTo>
                  <a:pt x="113481" y="117203"/>
                </a:lnTo>
                <a:lnTo>
                  <a:pt x="0" y="141759"/>
                </a:lnTo>
                <a:lnTo>
                  <a:pt x="0" y="46509"/>
                </a:lnTo>
                <a:lnTo>
                  <a:pt x="230683" y="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3" name="Полилиния 142">
            <a:extLst>
              <a:ext uri="{FF2B5EF4-FFF2-40B4-BE49-F238E27FC236}">
                <a16:creationId xmlns:a16="http://schemas.microsoft.com/office/drawing/2014/main" id="{DFEF730B-1607-49B5-AAA9-5E438DC33FC4}"/>
              </a:ext>
            </a:extLst>
          </xdr:cNvPr>
          <xdr:cNvSpPr/>
        </xdr:nvSpPr>
        <xdr:spPr>
          <a:xfrm>
            <a:off x="7194469" y="5115484"/>
            <a:ext cx="682633" cy="366164"/>
          </a:xfrm>
          <a:custGeom>
            <a:avLst/>
            <a:gdLst>
              <a:gd name="connsiteX0" fmla="*/ 0 w 4704301"/>
              <a:gd name="connsiteY0" fmla="*/ 0 h 2523387"/>
              <a:gd name="connsiteX1" fmla="*/ 4704301 w 4704301"/>
              <a:gd name="connsiteY1" fmla="*/ 0 h 2523387"/>
              <a:gd name="connsiteX2" fmla="*/ 4704301 w 4704301"/>
              <a:gd name="connsiteY2" fmla="*/ 2523387 h 2523387"/>
              <a:gd name="connsiteX3" fmla="*/ 4275629 w 4704301"/>
              <a:gd name="connsiteY3" fmla="*/ 2523387 h 2523387"/>
              <a:gd name="connsiteX4" fmla="*/ 4275629 w 4704301"/>
              <a:gd name="connsiteY4" fmla="*/ 410955 h 2523387"/>
              <a:gd name="connsiteX5" fmla="*/ 428671 w 4704301"/>
              <a:gd name="connsiteY5" fmla="*/ 410955 h 2523387"/>
              <a:gd name="connsiteX6" fmla="*/ 428671 w 4704301"/>
              <a:gd name="connsiteY6" fmla="*/ 1296780 h 2523387"/>
              <a:gd name="connsiteX7" fmla="*/ 0 w 4704301"/>
              <a:gd name="connsiteY7" fmla="*/ 1296780 h 25233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704301" h="2523387">
                <a:moveTo>
                  <a:pt x="0" y="0"/>
                </a:moveTo>
                <a:lnTo>
                  <a:pt x="4704301" y="0"/>
                </a:lnTo>
                <a:lnTo>
                  <a:pt x="4704301" y="2523387"/>
                </a:lnTo>
                <a:lnTo>
                  <a:pt x="4275629" y="2523387"/>
                </a:lnTo>
                <a:lnTo>
                  <a:pt x="4275629" y="410955"/>
                </a:lnTo>
                <a:lnTo>
                  <a:pt x="428671" y="410955"/>
                </a:lnTo>
                <a:lnTo>
                  <a:pt x="428671" y="1296780"/>
                </a:lnTo>
                <a:lnTo>
                  <a:pt x="0" y="1296780"/>
                </a:ln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144" name="Группа 143">
            <a:extLst>
              <a:ext uri="{FF2B5EF4-FFF2-40B4-BE49-F238E27FC236}">
                <a16:creationId xmlns:a16="http://schemas.microsoft.com/office/drawing/2014/main" id="{F41D7C53-A43D-417E-9C0A-FA428F25F0FF}"/>
              </a:ext>
            </a:extLst>
          </xdr:cNvPr>
          <xdr:cNvGrpSpPr/>
        </xdr:nvGrpSpPr>
        <xdr:grpSpPr>
          <a:xfrm>
            <a:off x="7347735" y="5235474"/>
            <a:ext cx="423631" cy="160046"/>
            <a:chOff x="3152775" y="1377956"/>
            <a:chExt cx="2919413" cy="1102936"/>
          </a:xfrm>
          <a:grpFill/>
        </xdr:grpSpPr>
        <xdr:sp macro="" textlink="">
          <xdr:nvSpPr>
            <xdr:cNvPr id="145" name="Скругленный прямоугольник 144">
              <a:extLst>
                <a:ext uri="{FF2B5EF4-FFF2-40B4-BE49-F238E27FC236}">
                  <a16:creationId xmlns:a16="http://schemas.microsoft.com/office/drawing/2014/main" id="{736963A2-6588-415A-9F50-E82D605F17AB}"/>
                </a:ext>
              </a:extLst>
            </xdr:cNvPr>
            <xdr:cNvSpPr/>
          </xdr:nvSpPr>
          <xdr:spPr>
            <a:xfrm>
              <a:off x="3152775" y="1377956"/>
              <a:ext cx="2919413"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6" name="Скругленный прямоугольник 145">
              <a:extLst>
                <a:ext uri="{FF2B5EF4-FFF2-40B4-BE49-F238E27FC236}">
                  <a16:creationId xmlns:a16="http://schemas.microsoft.com/office/drawing/2014/main" id="{CD02BE7F-4171-4B46-9BAD-25A7B1757F5B}"/>
                </a:ext>
              </a:extLst>
            </xdr:cNvPr>
            <xdr:cNvSpPr/>
          </xdr:nvSpPr>
          <xdr:spPr>
            <a:xfrm>
              <a:off x="4496631" y="2155737"/>
              <a:ext cx="1575557" cy="325155"/>
            </a:xfrm>
            <a:prstGeom prst="roundRect">
              <a:avLst>
                <a:gd name="adj" fmla="val 50000"/>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2</xdr:col>
      <xdr:colOff>646616</xdr:colOff>
      <xdr:row>1</xdr:row>
      <xdr:rowOff>60960</xdr:rowOff>
    </xdr:from>
    <xdr:to>
      <xdr:col>2</xdr:col>
      <xdr:colOff>2125640</xdr:colOff>
      <xdr:row>4</xdr:row>
      <xdr:rowOff>87653</xdr:rowOff>
    </xdr:to>
    <xdr:sp macro="" textlink="">
      <xdr:nvSpPr>
        <xdr:cNvPr id="147" name="TextBox 60">
          <a:extLst>
            <a:ext uri="{FF2B5EF4-FFF2-40B4-BE49-F238E27FC236}">
              <a16:creationId xmlns:a16="http://schemas.microsoft.com/office/drawing/2014/main" id="{778AF72E-7ED5-488E-8C22-37A1796A7437}"/>
            </a:ext>
          </a:extLst>
        </xdr:cNvPr>
        <xdr:cNvSpPr txBox="1"/>
      </xdr:nvSpPr>
      <xdr:spPr>
        <a:xfrm>
          <a:off x="3382196" y="243840"/>
          <a:ext cx="1479024" cy="575333"/>
        </a:xfrm>
        <a:prstGeom prst="round2DiagRect">
          <a:avLst/>
        </a:prstGeom>
        <a:solidFill>
          <a:srgbClr val="0033CC"/>
        </a:solid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a:solidFill>
                <a:schemeClr val="bg1"/>
              </a:solidFill>
              <a:latin typeface="Segoe UI" panose="020B0502040204020203" pitchFamily="34" charset="0"/>
              <a:cs typeface="Segoe UI" panose="020B0502040204020203" pitchFamily="34" charset="0"/>
            </a:rPr>
            <a:t>Безопасность </a:t>
          </a:r>
          <a:r>
            <a:rPr lang="en-US" sz="1400">
              <a:solidFill>
                <a:schemeClr val="bg1"/>
              </a:solidFill>
              <a:latin typeface="Segoe UI" panose="020B0502040204020203" pitchFamily="34" charset="0"/>
              <a:cs typeface="Segoe UI" panose="020B0502040204020203" pitchFamily="34" charset="0"/>
            </a:rPr>
            <a:t>Orchestrator</a:t>
          </a:r>
        </a:p>
      </xdr:txBody>
    </xdr:sp>
    <xdr:clientData/>
  </xdr:twoCellAnchor>
  <xdr:twoCellAnchor>
    <xdr:from>
      <xdr:col>1</xdr:col>
      <xdr:colOff>2273333</xdr:colOff>
      <xdr:row>1</xdr:row>
      <xdr:rowOff>60960</xdr:rowOff>
    </xdr:from>
    <xdr:to>
      <xdr:col>2</xdr:col>
      <xdr:colOff>541588</xdr:colOff>
      <xdr:row>4</xdr:row>
      <xdr:rowOff>87653</xdr:rowOff>
    </xdr:to>
    <xdr:grpSp>
      <xdr:nvGrpSpPr>
        <xdr:cNvPr id="148" name="Группа 147">
          <a:extLst>
            <a:ext uri="{FF2B5EF4-FFF2-40B4-BE49-F238E27FC236}">
              <a16:creationId xmlns:a16="http://schemas.microsoft.com/office/drawing/2014/main" id="{7F97A9C7-69A6-4497-99F8-C56B8BE59600}"/>
            </a:ext>
          </a:extLst>
        </xdr:cNvPr>
        <xdr:cNvGrpSpPr>
          <a:grpSpLocks noChangeAspect="1"/>
        </xdr:cNvGrpSpPr>
      </xdr:nvGrpSpPr>
      <xdr:grpSpPr>
        <a:xfrm>
          <a:off x="2654333" y="251460"/>
          <a:ext cx="544730" cy="598193"/>
          <a:chOff x="-1361378" y="658496"/>
          <a:chExt cx="1173998" cy="1169644"/>
        </a:xfrm>
      </xdr:grpSpPr>
      <xdr:sp macro="" textlink="">
        <xdr:nvSpPr>
          <xdr:cNvPr id="149" name="Полилиния: фигура 62">
            <a:extLst>
              <a:ext uri="{FF2B5EF4-FFF2-40B4-BE49-F238E27FC236}">
                <a16:creationId xmlns:a16="http://schemas.microsoft.com/office/drawing/2014/main" id="{F35C6806-F9AD-4CBF-B71B-31E67CAD9D2C}"/>
              </a:ext>
            </a:extLst>
          </xdr:cNvPr>
          <xdr:cNvSpPr/>
        </xdr:nvSpPr>
        <xdr:spPr>
          <a:xfrm rot="5400000" flipV="1">
            <a:off x="-1359201" y="656319"/>
            <a:ext cx="1169644" cy="1173998"/>
          </a:xfrm>
          <a:custGeom>
            <a:avLst/>
            <a:gdLst>
              <a:gd name="connsiteX0" fmla="*/ 205650 w 3912688"/>
              <a:gd name="connsiteY0" fmla="*/ 1768048 h 3927255"/>
              <a:gd name="connsiteX1" fmla="*/ 426783 w 3912688"/>
              <a:gd name="connsiteY1" fmla="*/ 1768048 h 3927255"/>
              <a:gd name="connsiteX2" fmla="*/ 431280 w 3912688"/>
              <a:gd name="connsiteY2" fmla="*/ 1728669 h 3927255"/>
              <a:gd name="connsiteX3" fmla="*/ 676996 w 3912688"/>
              <a:gd name="connsiteY3" fmla="*/ 1101011 h 3927255"/>
              <a:gd name="connsiteX4" fmla="*/ 740306 w 3912688"/>
              <a:gd name="connsiteY4" fmla="*/ 1016348 h 3927255"/>
              <a:gd name="connsiteX5" fmla="*/ 600055 w 3912688"/>
              <a:gd name="connsiteY5" fmla="*/ 876097 h 3927255"/>
              <a:gd name="connsiteX6" fmla="*/ 876647 w 3912688"/>
              <a:gd name="connsiteY6" fmla="*/ 599505 h 3927255"/>
              <a:gd name="connsiteX7" fmla="*/ 1018028 w 3912688"/>
              <a:gd name="connsiteY7" fmla="*/ 740887 h 3927255"/>
              <a:gd name="connsiteX8" fmla="*/ 1093727 w 3912688"/>
              <a:gd name="connsiteY8" fmla="*/ 684280 h 3927255"/>
              <a:gd name="connsiteX9" fmla="*/ 1721384 w 3912688"/>
              <a:gd name="connsiteY9" fmla="*/ 438564 h 3927255"/>
              <a:gd name="connsiteX10" fmla="*/ 1761169 w 3912688"/>
              <a:gd name="connsiteY10" fmla="*/ 434020 h 3927255"/>
              <a:gd name="connsiteX11" fmla="*/ 1761169 w 3912688"/>
              <a:gd name="connsiteY11" fmla="*/ 237372 h 3927255"/>
              <a:gd name="connsiteX12" fmla="*/ 2152329 w 3912688"/>
              <a:gd name="connsiteY12" fmla="*/ 237372 h 3927255"/>
              <a:gd name="connsiteX13" fmla="*/ 2152329 w 3912688"/>
              <a:gd name="connsiteY13" fmla="*/ 434200 h 3927255"/>
              <a:gd name="connsiteX14" fmla="*/ 2196088 w 3912688"/>
              <a:gd name="connsiteY14" fmla="*/ 439303 h 3927255"/>
              <a:gd name="connsiteX15" fmla="*/ 2834284 w 3912688"/>
              <a:gd name="connsiteY15" fmla="*/ 694767 h 3927255"/>
              <a:gd name="connsiteX16" fmla="*/ 2905278 w 3912688"/>
              <a:gd name="connsiteY16" fmla="*/ 748522 h 3927255"/>
              <a:gd name="connsiteX17" fmla="*/ 3059375 w 3912688"/>
              <a:gd name="connsiteY17" fmla="*/ 594425 h 3927255"/>
              <a:gd name="connsiteX18" fmla="*/ 3335966 w 3912688"/>
              <a:gd name="connsiteY18" fmla="*/ 871017 h 3927255"/>
              <a:gd name="connsiteX19" fmla="*/ 3180588 w 3912688"/>
              <a:gd name="connsiteY19" fmla="*/ 1026395 h 3927255"/>
              <a:gd name="connsiteX20" fmla="*/ 3203695 w 3912688"/>
              <a:gd name="connsiteY20" fmla="*/ 1055441 h 3927255"/>
              <a:gd name="connsiteX21" fmla="*/ 3467840 w 3912688"/>
              <a:gd name="connsiteY21" fmla="*/ 1652692 h 3927255"/>
              <a:gd name="connsiteX22" fmla="*/ 3485445 w 3912688"/>
              <a:gd name="connsiteY22" fmla="*/ 1768048 h 3927255"/>
              <a:gd name="connsiteX23" fmla="*/ 3705716 w 3912688"/>
              <a:gd name="connsiteY23" fmla="*/ 1768047 h 3927255"/>
              <a:gd name="connsiteX24" fmla="*/ 3705716 w 3912688"/>
              <a:gd name="connsiteY24" fmla="*/ 2159208 h 3927255"/>
              <a:gd name="connsiteX25" fmla="*/ 3485819 w 3912688"/>
              <a:gd name="connsiteY25" fmla="*/ 2159208 h 3927255"/>
              <a:gd name="connsiteX26" fmla="*/ 3480669 w 3912688"/>
              <a:gd name="connsiteY26" fmla="*/ 2203374 h 3927255"/>
              <a:gd name="connsiteX27" fmla="*/ 3225205 w 3912688"/>
              <a:gd name="connsiteY27" fmla="*/ 2841569 h 3927255"/>
              <a:gd name="connsiteX28" fmla="*/ 3188915 w 3912688"/>
              <a:gd name="connsiteY28" fmla="*/ 2889497 h 3927255"/>
              <a:gd name="connsiteX29" fmla="*/ 3354168 w 3912688"/>
              <a:gd name="connsiteY29" fmla="*/ 3054749 h 3927255"/>
              <a:gd name="connsiteX30" fmla="*/ 3077576 w 3912688"/>
              <a:gd name="connsiteY30" fmla="*/ 3331341 h 3927255"/>
              <a:gd name="connsiteX31" fmla="*/ 2916150 w 3912688"/>
              <a:gd name="connsiteY31" fmla="*/ 3169916 h 3927255"/>
              <a:gd name="connsiteX32" fmla="*/ 2864531 w 3912688"/>
              <a:gd name="connsiteY32" fmla="*/ 3210980 h 3927255"/>
              <a:gd name="connsiteX33" fmla="*/ 2267281 w 3912688"/>
              <a:gd name="connsiteY33" fmla="*/ 3475124 h 3927255"/>
              <a:gd name="connsiteX34" fmla="*/ 2152329 w 3912688"/>
              <a:gd name="connsiteY34" fmla="*/ 3492668 h 3927255"/>
              <a:gd name="connsiteX35" fmla="*/ 2152329 w 3912688"/>
              <a:gd name="connsiteY35" fmla="*/ 3679727 h 3927255"/>
              <a:gd name="connsiteX36" fmla="*/ 1761169 w 3912688"/>
              <a:gd name="connsiteY36" fmla="*/ 3679727 h 3927255"/>
              <a:gd name="connsiteX37" fmla="*/ 1761169 w 3912688"/>
              <a:gd name="connsiteY37" fmla="*/ 3493151 h 3927255"/>
              <a:gd name="connsiteX38" fmla="*/ 1716599 w 3912688"/>
              <a:gd name="connsiteY38" fmla="*/ 3487953 h 3927255"/>
              <a:gd name="connsiteX39" fmla="*/ 1078403 w 3912688"/>
              <a:gd name="connsiteY39" fmla="*/ 3232489 h 3927255"/>
              <a:gd name="connsiteX40" fmla="*/ 1008955 w 3912688"/>
              <a:gd name="connsiteY40" fmla="*/ 3179904 h 3927255"/>
              <a:gd name="connsiteX41" fmla="*/ 867678 w 3912688"/>
              <a:gd name="connsiteY41" fmla="*/ 3321181 h 3927255"/>
              <a:gd name="connsiteX42" fmla="*/ 591086 w 3912688"/>
              <a:gd name="connsiteY42" fmla="*/ 3044589 h 3927255"/>
              <a:gd name="connsiteX43" fmla="*/ 733302 w 3912688"/>
              <a:gd name="connsiteY43" fmla="*/ 2902373 h 3927255"/>
              <a:gd name="connsiteX44" fmla="*/ 708992 w 3912688"/>
              <a:gd name="connsiteY44" fmla="*/ 2871816 h 3927255"/>
              <a:gd name="connsiteX45" fmla="*/ 444848 w 3912688"/>
              <a:gd name="connsiteY45" fmla="*/ 2274565 h 3927255"/>
              <a:gd name="connsiteX46" fmla="*/ 427243 w 3912688"/>
              <a:gd name="connsiteY46" fmla="*/ 2159208 h 3927255"/>
              <a:gd name="connsiteX47" fmla="*/ 205650 w 3912688"/>
              <a:gd name="connsiteY47" fmla="*/ 2159208 h 3927255"/>
              <a:gd name="connsiteX48" fmla="*/ 0 w 3912688"/>
              <a:gd name="connsiteY48" fmla="*/ 1657355 h 3927255"/>
              <a:gd name="connsiteX49" fmla="*/ 0 w 3912688"/>
              <a:gd name="connsiteY49" fmla="*/ 2259336 h 3927255"/>
              <a:gd name="connsiteX50" fmla="*/ 182019 w 3912688"/>
              <a:gd name="connsiteY50" fmla="*/ 2441355 h 3927255"/>
              <a:gd name="connsiteX51" fmla="*/ 288446 w 3912688"/>
              <a:gd name="connsiteY51" fmla="*/ 2441355 h 3927255"/>
              <a:gd name="connsiteX52" fmla="*/ 297092 w 3912688"/>
              <a:gd name="connsiteY52" fmla="*/ 2474982 h 3927255"/>
              <a:gd name="connsiteX53" fmla="*/ 428674 w 3912688"/>
              <a:gd name="connsiteY53" fmla="*/ 2786474 h 3927255"/>
              <a:gd name="connsiteX54" fmla="*/ 438202 w 3912688"/>
              <a:gd name="connsiteY54" fmla="*/ 2802155 h 3927255"/>
              <a:gd name="connsiteX55" fmla="*/ 356981 w 3912688"/>
              <a:gd name="connsiteY55" fmla="*/ 2883377 h 3927255"/>
              <a:gd name="connsiteX56" fmla="*/ 300472 w 3912688"/>
              <a:gd name="connsiteY56" fmla="*/ 3019797 h 3927255"/>
              <a:gd name="connsiteX57" fmla="*/ 356981 w 3912688"/>
              <a:gd name="connsiteY57" fmla="*/ 3156217 h 3927255"/>
              <a:gd name="connsiteX58" fmla="*/ 767218 w 3912688"/>
              <a:gd name="connsiteY58" fmla="*/ 3566456 h 3927255"/>
              <a:gd name="connsiteX59" fmla="*/ 1040058 w 3912688"/>
              <a:gd name="connsiteY59" fmla="*/ 3566456 h 3927255"/>
              <a:gd name="connsiteX60" fmla="*/ 1123416 w 3912688"/>
              <a:gd name="connsiteY60" fmla="*/ 3483099 h 3927255"/>
              <a:gd name="connsiteX61" fmla="*/ 1128215 w 3912688"/>
              <a:gd name="connsiteY61" fmla="*/ 3486015 h 3927255"/>
              <a:gd name="connsiteX62" fmla="*/ 1439708 w 3912688"/>
              <a:gd name="connsiteY62" fmla="*/ 3617597 h 3927255"/>
              <a:gd name="connsiteX63" fmla="*/ 1487038 w 3912688"/>
              <a:gd name="connsiteY63" fmla="*/ 3629767 h 3927255"/>
              <a:gd name="connsiteX64" fmla="*/ 1487038 w 3912688"/>
              <a:gd name="connsiteY64" fmla="*/ 3730248 h 3927255"/>
              <a:gd name="connsiteX65" fmla="*/ 1684045 w 3912688"/>
              <a:gd name="connsiteY65" fmla="*/ 3927255 h 3927255"/>
              <a:gd name="connsiteX66" fmla="*/ 2256049 w 3912688"/>
              <a:gd name="connsiteY66" fmla="*/ 3927255 h 3927255"/>
              <a:gd name="connsiteX67" fmla="*/ 2453056 w 3912688"/>
              <a:gd name="connsiteY67" fmla="*/ 3730248 h 3927255"/>
              <a:gd name="connsiteX68" fmla="*/ 2453056 w 3912688"/>
              <a:gd name="connsiteY68" fmla="*/ 3622720 h 3927255"/>
              <a:gd name="connsiteX69" fmla="*/ 2472982 w 3912688"/>
              <a:gd name="connsiteY69" fmla="*/ 3617597 h 3927255"/>
              <a:gd name="connsiteX70" fmla="*/ 2784473 w 3912688"/>
              <a:gd name="connsiteY70" fmla="*/ 3486015 h 3927255"/>
              <a:gd name="connsiteX71" fmla="*/ 2806322 w 3912688"/>
              <a:gd name="connsiteY71" fmla="*/ 3472742 h 3927255"/>
              <a:gd name="connsiteX72" fmla="*/ 2900036 w 3912688"/>
              <a:gd name="connsiteY72" fmla="*/ 3566456 h 3927255"/>
              <a:gd name="connsiteX73" fmla="*/ 3172876 w 3912688"/>
              <a:gd name="connsiteY73" fmla="*/ 3566456 h 3927255"/>
              <a:gd name="connsiteX74" fmla="*/ 3583115 w 3912688"/>
              <a:gd name="connsiteY74" fmla="*/ 3156217 h 3927255"/>
              <a:gd name="connsiteX75" fmla="*/ 3583115 w 3912688"/>
              <a:gd name="connsiteY75" fmla="*/ 2883377 h 3927255"/>
              <a:gd name="connsiteX76" fmla="*/ 3484728 w 3912688"/>
              <a:gd name="connsiteY76" fmla="*/ 2784991 h 3927255"/>
              <a:gd name="connsiteX77" fmla="*/ 3557174 w 3912688"/>
              <a:gd name="connsiteY77" fmla="*/ 2634603 h 3927255"/>
              <a:gd name="connsiteX78" fmla="*/ 3615596 w 3912688"/>
              <a:gd name="connsiteY78" fmla="*/ 2474982 h 3927255"/>
              <a:gd name="connsiteX79" fmla="*/ 3622705 w 3912688"/>
              <a:gd name="connsiteY79" fmla="*/ 2447335 h 3927255"/>
              <a:gd name="connsiteX80" fmla="*/ 3729616 w 3912688"/>
              <a:gd name="connsiteY80" fmla="*/ 2447335 h 3927255"/>
              <a:gd name="connsiteX81" fmla="*/ 3912688 w 3912688"/>
              <a:gd name="connsiteY81" fmla="*/ 2264263 h 3927255"/>
              <a:gd name="connsiteX82" fmla="*/ 3912688 w 3912688"/>
              <a:gd name="connsiteY82" fmla="*/ 1664388 h 3927255"/>
              <a:gd name="connsiteX83" fmla="*/ 3729616 w 3912688"/>
              <a:gd name="connsiteY83" fmla="*/ 1481316 h 3927255"/>
              <a:gd name="connsiteX84" fmla="*/ 3625780 w 3912688"/>
              <a:gd name="connsiteY84" fmla="*/ 1481316 h 3927255"/>
              <a:gd name="connsiteX85" fmla="*/ 3615596 w 3912688"/>
              <a:gd name="connsiteY85" fmla="*/ 1441707 h 3927255"/>
              <a:gd name="connsiteX86" fmla="*/ 3557173 w 3912688"/>
              <a:gd name="connsiteY86" fmla="*/ 1282086 h 3927255"/>
              <a:gd name="connsiteX87" fmla="*/ 3486275 w 3912688"/>
              <a:gd name="connsiteY87" fmla="*/ 1134910 h 3927255"/>
              <a:gd name="connsiteX88" fmla="*/ 3583115 w 3912688"/>
              <a:gd name="connsiteY88" fmla="*/ 1038071 h 3927255"/>
              <a:gd name="connsiteX89" fmla="*/ 3583115 w 3912688"/>
              <a:gd name="connsiteY89" fmla="*/ 765231 h 3927255"/>
              <a:gd name="connsiteX90" fmla="*/ 3172876 w 3912688"/>
              <a:gd name="connsiteY90" fmla="*/ 354992 h 3927255"/>
              <a:gd name="connsiteX91" fmla="*/ 2900036 w 3912688"/>
              <a:gd name="connsiteY91" fmla="*/ 354992 h 3927255"/>
              <a:gd name="connsiteX92" fmla="*/ 2809282 w 3912688"/>
              <a:gd name="connsiteY92" fmla="*/ 445747 h 3927255"/>
              <a:gd name="connsiteX93" fmla="*/ 2784473 w 3912688"/>
              <a:gd name="connsiteY93" fmla="*/ 430675 h 3927255"/>
              <a:gd name="connsiteX94" fmla="*/ 2472981 w 3912688"/>
              <a:gd name="connsiteY94" fmla="*/ 299093 h 3927255"/>
              <a:gd name="connsiteX95" fmla="*/ 2453056 w 3912688"/>
              <a:gd name="connsiteY95" fmla="*/ 293970 h 3927255"/>
              <a:gd name="connsiteX96" fmla="*/ 2453056 w 3912688"/>
              <a:gd name="connsiteY96" fmla="*/ 197007 h 3927255"/>
              <a:gd name="connsiteX97" fmla="*/ 2256049 w 3912688"/>
              <a:gd name="connsiteY97" fmla="*/ 0 h 3927255"/>
              <a:gd name="connsiteX98" fmla="*/ 1684045 w 3912688"/>
              <a:gd name="connsiteY98" fmla="*/ 0 h 3927255"/>
              <a:gd name="connsiteX99" fmla="*/ 1487038 w 3912688"/>
              <a:gd name="connsiteY99" fmla="*/ 197007 h 3927255"/>
              <a:gd name="connsiteX100" fmla="*/ 1487038 w 3912688"/>
              <a:gd name="connsiteY100" fmla="*/ 286923 h 3927255"/>
              <a:gd name="connsiteX101" fmla="*/ 1439707 w 3912688"/>
              <a:gd name="connsiteY101" fmla="*/ 299093 h 3927255"/>
              <a:gd name="connsiteX102" fmla="*/ 1128215 w 3912688"/>
              <a:gd name="connsiteY102" fmla="*/ 430675 h 3927255"/>
              <a:gd name="connsiteX103" fmla="*/ 1114538 w 3912688"/>
              <a:gd name="connsiteY103" fmla="*/ 438985 h 3927255"/>
              <a:gd name="connsiteX104" fmla="*/ 1030544 w 3912688"/>
              <a:gd name="connsiteY104" fmla="*/ 354992 h 3927255"/>
              <a:gd name="connsiteX105" fmla="*/ 757704 w 3912688"/>
              <a:gd name="connsiteY105" fmla="*/ 354992 h 3927255"/>
              <a:gd name="connsiteX106" fmla="*/ 347466 w 3912688"/>
              <a:gd name="connsiteY106" fmla="*/ 765231 h 3927255"/>
              <a:gd name="connsiteX107" fmla="*/ 290958 w 3912688"/>
              <a:gd name="connsiteY107" fmla="*/ 901651 h 3927255"/>
              <a:gd name="connsiteX108" fmla="*/ 347466 w 3912688"/>
              <a:gd name="connsiteY108" fmla="*/ 1038071 h 3927255"/>
              <a:gd name="connsiteX109" fmla="*/ 432807 w 3912688"/>
              <a:gd name="connsiteY109" fmla="*/ 1123413 h 3927255"/>
              <a:gd name="connsiteX110" fmla="*/ 428674 w 3912688"/>
              <a:gd name="connsiteY110" fmla="*/ 1130216 h 3927255"/>
              <a:gd name="connsiteX111" fmla="*/ 297092 w 3912688"/>
              <a:gd name="connsiteY111" fmla="*/ 1441707 h 3927255"/>
              <a:gd name="connsiteX112" fmla="*/ 288446 w 3912688"/>
              <a:gd name="connsiteY112" fmla="*/ 1475336 h 3927255"/>
              <a:gd name="connsiteX113" fmla="*/ 182019 w 3912688"/>
              <a:gd name="connsiteY113" fmla="*/ 1475336 h 3927255"/>
              <a:gd name="connsiteX114" fmla="*/ 0 w 3912688"/>
              <a:gd name="connsiteY114" fmla="*/ 1657355 h 39272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3912688" h="3927255">
                <a:moveTo>
                  <a:pt x="205650" y="1768048"/>
                </a:moveTo>
                <a:lnTo>
                  <a:pt x="426783" y="1768048"/>
                </a:lnTo>
                <a:lnTo>
                  <a:pt x="431280" y="1728669"/>
                </a:lnTo>
                <a:cubicBezTo>
                  <a:pt x="466398" y="1498835"/>
                  <a:pt x="552229" y="1285690"/>
                  <a:pt x="676996" y="1101011"/>
                </a:cubicBezTo>
                <a:lnTo>
                  <a:pt x="740306" y="1016348"/>
                </a:lnTo>
                <a:lnTo>
                  <a:pt x="600055" y="876097"/>
                </a:lnTo>
                <a:lnTo>
                  <a:pt x="876647" y="599505"/>
                </a:lnTo>
                <a:lnTo>
                  <a:pt x="1018028" y="740887"/>
                </a:lnTo>
                <a:lnTo>
                  <a:pt x="1093727" y="684280"/>
                </a:lnTo>
                <a:cubicBezTo>
                  <a:pt x="1278406" y="559513"/>
                  <a:pt x="1491551" y="473682"/>
                  <a:pt x="1721384" y="438564"/>
                </a:cubicBezTo>
                <a:lnTo>
                  <a:pt x="1761169" y="434020"/>
                </a:lnTo>
                <a:lnTo>
                  <a:pt x="1761169" y="237372"/>
                </a:lnTo>
                <a:lnTo>
                  <a:pt x="2152329" y="237372"/>
                </a:lnTo>
                <a:lnTo>
                  <a:pt x="2152329" y="434200"/>
                </a:lnTo>
                <a:lnTo>
                  <a:pt x="2196088" y="439303"/>
                </a:lnTo>
                <a:cubicBezTo>
                  <a:pt x="2430472" y="475871"/>
                  <a:pt x="2647381" y="565202"/>
                  <a:pt x="2834284" y="694767"/>
                </a:cubicBezTo>
                <a:lnTo>
                  <a:pt x="2905278" y="748522"/>
                </a:lnTo>
                <a:lnTo>
                  <a:pt x="3059375" y="594425"/>
                </a:lnTo>
                <a:lnTo>
                  <a:pt x="3335966" y="871017"/>
                </a:lnTo>
                <a:lnTo>
                  <a:pt x="3180588" y="1026395"/>
                </a:lnTo>
                <a:lnTo>
                  <a:pt x="3203695" y="1055441"/>
                </a:lnTo>
                <a:cubicBezTo>
                  <a:pt x="3331226" y="1230298"/>
                  <a:pt x="3422882" y="1432990"/>
                  <a:pt x="3467840" y="1652692"/>
                </a:cubicBezTo>
                <a:lnTo>
                  <a:pt x="3485445" y="1768048"/>
                </a:lnTo>
                <a:lnTo>
                  <a:pt x="3705716" y="1768047"/>
                </a:lnTo>
                <a:lnTo>
                  <a:pt x="3705716" y="2159208"/>
                </a:lnTo>
                <a:lnTo>
                  <a:pt x="3485819" y="2159208"/>
                </a:lnTo>
                <a:lnTo>
                  <a:pt x="3480669" y="2203374"/>
                </a:lnTo>
                <a:cubicBezTo>
                  <a:pt x="3444101" y="2437758"/>
                  <a:pt x="3354770" y="2654666"/>
                  <a:pt x="3225205" y="2841569"/>
                </a:cubicBezTo>
                <a:lnTo>
                  <a:pt x="3188915" y="2889497"/>
                </a:lnTo>
                <a:lnTo>
                  <a:pt x="3354168" y="3054749"/>
                </a:lnTo>
                <a:lnTo>
                  <a:pt x="3077576" y="3331341"/>
                </a:lnTo>
                <a:lnTo>
                  <a:pt x="2916150" y="3169916"/>
                </a:lnTo>
                <a:lnTo>
                  <a:pt x="2864531" y="3210980"/>
                </a:lnTo>
                <a:cubicBezTo>
                  <a:pt x="2689674" y="3338511"/>
                  <a:pt x="2486983" y="3430167"/>
                  <a:pt x="2267281" y="3475124"/>
                </a:cubicBezTo>
                <a:lnTo>
                  <a:pt x="2152329" y="3492668"/>
                </a:lnTo>
                <a:lnTo>
                  <a:pt x="2152329" y="3679727"/>
                </a:lnTo>
                <a:lnTo>
                  <a:pt x="1761169" y="3679727"/>
                </a:lnTo>
                <a:lnTo>
                  <a:pt x="1761169" y="3493151"/>
                </a:lnTo>
                <a:lnTo>
                  <a:pt x="1716599" y="3487953"/>
                </a:lnTo>
                <a:cubicBezTo>
                  <a:pt x="1482215" y="3451386"/>
                  <a:pt x="1265307" y="3362054"/>
                  <a:pt x="1078403" y="3232489"/>
                </a:cubicBezTo>
                <a:lnTo>
                  <a:pt x="1008955" y="3179904"/>
                </a:lnTo>
                <a:lnTo>
                  <a:pt x="867678" y="3321181"/>
                </a:lnTo>
                <a:lnTo>
                  <a:pt x="591086" y="3044589"/>
                </a:lnTo>
                <a:lnTo>
                  <a:pt x="733302" y="2902373"/>
                </a:lnTo>
                <a:lnTo>
                  <a:pt x="708992" y="2871816"/>
                </a:lnTo>
                <a:cubicBezTo>
                  <a:pt x="581462" y="2696958"/>
                  <a:pt x="489806" y="2494267"/>
                  <a:pt x="444848" y="2274565"/>
                </a:cubicBezTo>
                <a:lnTo>
                  <a:pt x="427243" y="2159208"/>
                </a:lnTo>
                <a:lnTo>
                  <a:pt x="205650" y="2159208"/>
                </a:lnTo>
                <a:close/>
                <a:moveTo>
                  <a:pt x="0" y="1657355"/>
                </a:moveTo>
                <a:lnTo>
                  <a:pt x="0" y="2259336"/>
                </a:lnTo>
                <a:cubicBezTo>
                  <a:pt x="0" y="2359862"/>
                  <a:pt x="81493" y="2441355"/>
                  <a:pt x="182019" y="2441355"/>
                </a:cubicBezTo>
                <a:lnTo>
                  <a:pt x="288446" y="2441355"/>
                </a:lnTo>
                <a:lnTo>
                  <a:pt x="297092" y="2474982"/>
                </a:lnTo>
                <a:cubicBezTo>
                  <a:pt x="330935" y="2583786"/>
                  <a:pt x="375183" y="2688005"/>
                  <a:pt x="428674" y="2786474"/>
                </a:cubicBezTo>
                <a:lnTo>
                  <a:pt x="438202" y="2802155"/>
                </a:lnTo>
                <a:lnTo>
                  <a:pt x="356981" y="2883377"/>
                </a:lnTo>
                <a:cubicBezTo>
                  <a:pt x="319309" y="2921048"/>
                  <a:pt x="300472" y="2970423"/>
                  <a:pt x="300472" y="3019797"/>
                </a:cubicBezTo>
                <a:cubicBezTo>
                  <a:pt x="300472" y="3069171"/>
                  <a:pt x="319309" y="3118545"/>
                  <a:pt x="356981" y="3156217"/>
                </a:cubicBezTo>
                <a:lnTo>
                  <a:pt x="767218" y="3566456"/>
                </a:lnTo>
                <a:cubicBezTo>
                  <a:pt x="842561" y="3641799"/>
                  <a:pt x="964715" y="3641799"/>
                  <a:pt x="1040058" y="3566456"/>
                </a:cubicBezTo>
                <a:lnTo>
                  <a:pt x="1123416" y="3483099"/>
                </a:lnTo>
                <a:lnTo>
                  <a:pt x="1128215" y="3486015"/>
                </a:lnTo>
                <a:cubicBezTo>
                  <a:pt x="1226684" y="3539507"/>
                  <a:pt x="1330903" y="3583755"/>
                  <a:pt x="1439708" y="3617597"/>
                </a:cubicBezTo>
                <a:lnTo>
                  <a:pt x="1487038" y="3629767"/>
                </a:lnTo>
                <a:lnTo>
                  <a:pt x="1487038" y="3730248"/>
                </a:lnTo>
                <a:cubicBezTo>
                  <a:pt x="1487038" y="3839052"/>
                  <a:pt x="1575241" y="3927255"/>
                  <a:pt x="1684045" y="3927255"/>
                </a:cubicBezTo>
                <a:lnTo>
                  <a:pt x="2256049" y="3927255"/>
                </a:lnTo>
                <a:cubicBezTo>
                  <a:pt x="2364853" y="3927255"/>
                  <a:pt x="2453056" y="3839052"/>
                  <a:pt x="2453056" y="3730248"/>
                </a:cubicBezTo>
                <a:lnTo>
                  <a:pt x="2453056" y="3622720"/>
                </a:lnTo>
                <a:lnTo>
                  <a:pt x="2472982" y="3617597"/>
                </a:lnTo>
                <a:cubicBezTo>
                  <a:pt x="2581785" y="3583755"/>
                  <a:pt x="2686004" y="3539507"/>
                  <a:pt x="2784473" y="3486015"/>
                </a:cubicBezTo>
                <a:lnTo>
                  <a:pt x="2806322" y="3472742"/>
                </a:lnTo>
                <a:lnTo>
                  <a:pt x="2900036" y="3566456"/>
                </a:lnTo>
                <a:cubicBezTo>
                  <a:pt x="2975379" y="3641799"/>
                  <a:pt x="3097533" y="3641799"/>
                  <a:pt x="3172876" y="3566456"/>
                </a:cubicBezTo>
                <a:lnTo>
                  <a:pt x="3583115" y="3156217"/>
                </a:lnTo>
                <a:cubicBezTo>
                  <a:pt x="3658458" y="3080874"/>
                  <a:pt x="3658458" y="2958720"/>
                  <a:pt x="3583115" y="2883377"/>
                </a:cubicBezTo>
                <a:lnTo>
                  <a:pt x="3484728" y="2784991"/>
                </a:lnTo>
                <a:lnTo>
                  <a:pt x="3557174" y="2634603"/>
                </a:lnTo>
                <a:cubicBezTo>
                  <a:pt x="3579152" y="2582640"/>
                  <a:pt x="3598675" y="2529384"/>
                  <a:pt x="3615596" y="2474982"/>
                </a:cubicBezTo>
                <a:lnTo>
                  <a:pt x="3622705" y="2447335"/>
                </a:lnTo>
                <a:lnTo>
                  <a:pt x="3729616" y="2447335"/>
                </a:lnTo>
                <a:cubicBezTo>
                  <a:pt x="3830724" y="2447335"/>
                  <a:pt x="3912688" y="2365371"/>
                  <a:pt x="3912688" y="2264263"/>
                </a:cubicBezTo>
                <a:lnTo>
                  <a:pt x="3912688" y="1664388"/>
                </a:lnTo>
                <a:cubicBezTo>
                  <a:pt x="3912688" y="1563280"/>
                  <a:pt x="3830724" y="1481316"/>
                  <a:pt x="3729616" y="1481316"/>
                </a:cubicBezTo>
                <a:lnTo>
                  <a:pt x="3625780" y="1481316"/>
                </a:lnTo>
                <a:lnTo>
                  <a:pt x="3615596" y="1441707"/>
                </a:lnTo>
                <a:cubicBezTo>
                  <a:pt x="3598675" y="1387305"/>
                  <a:pt x="3579152" y="1334050"/>
                  <a:pt x="3557173" y="1282086"/>
                </a:cubicBezTo>
                <a:lnTo>
                  <a:pt x="3486275" y="1134910"/>
                </a:lnTo>
                <a:lnTo>
                  <a:pt x="3583115" y="1038071"/>
                </a:lnTo>
                <a:cubicBezTo>
                  <a:pt x="3658458" y="962728"/>
                  <a:pt x="3658458" y="840574"/>
                  <a:pt x="3583115" y="765231"/>
                </a:cubicBezTo>
                <a:lnTo>
                  <a:pt x="3172876" y="354992"/>
                </a:lnTo>
                <a:cubicBezTo>
                  <a:pt x="3097533" y="279649"/>
                  <a:pt x="2975379" y="279649"/>
                  <a:pt x="2900036" y="354992"/>
                </a:cubicBezTo>
                <a:lnTo>
                  <a:pt x="2809282" y="445747"/>
                </a:lnTo>
                <a:lnTo>
                  <a:pt x="2784473" y="430675"/>
                </a:lnTo>
                <a:cubicBezTo>
                  <a:pt x="2686004" y="377183"/>
                  <a:pt x="2581785" y="332935"/>
                  <a:pt x="2472981" y="299093"/>
                </a:cubicBezTo>
                <a:lnTo>
                  <a:pt x="2453056" y="293970"/>
                </a:lnTo>
                <a:lnTo>
                  <a:pt x="2453056" y="197007"/>
                </a:lnTo>
                <a:cubicBezTo>
                  <a:pt x="2453056" y="88203"/>
                  <a:pt x="2364853" y="0"/>
                  <a:pt x="2256049" y="0"/>
                </a:cubicBezTo>
                <a:lnTo>
                  <a:pt x="1684045" y="0"/>
                </a:lnTo>
                <a:cubicBezTo>
                  <a:pt x="1575241" y="0"/>
                  <a:pt x="1487038" y="88203"/>
                  <a:pt x="1487038" y="197007"/>
                </a:cubicBezTo>
                <a:lnTo>
                  <a:pt x="1487038" y="286923"/>
                </a:lnTo>
                <a:lnTo>
                  <a:pt x="1439707" y="299093"/>
                </a:lnTo>
                <a:cubicBezTo>
                  <a:pt x="1330903" y="332935"/>
                  <a:pt x="1226684" y="377183"/>
                  <a:pt x="1128215" y="430675"/>
                </a:cubicBezTo>
                <a:lnTo>
                  <a:pt x="1114538" y="438985"/>
                </a:lnTo>
                <a:lnTo>
                  <a:pt x="1030544" y="354992"/>
                </a:lnTo>
                <a:cubicBezTo>
                  <a:pt x="955201" y="279649"/>
                  <a:pt x="833047" y="279649"/>
                  <a:pt x="757704" y="354992"/>
                </a:cubicBezTo>
                <a:lnTo>
                  <a:pt x="347466" y="765231"/>
                </a:lnTo>
                <a:cubicBezTo>
                  <a:pt x="309794" y="802902"/>
                  <a:pt x="290958" y="852276"/>
                  <a:pt x="290958" y="901651"/>
                </a:cubicBezTo>
                <a:cubicBezTo>
                  <a:pt x="290958" y="951025"/>
                  <a:pt x="309794" y="1000399"/>
                  <a:pt x="347466" y="1038071"/>
                </a:cubicBezTo>
                <a:lnTo>
                  <a:pt x="432807" y="1123413"/>
                </a:lnTo>
                <a:lnTo>
                  <a:pt x="428674" y="1130216"/>
                </a:lnTo>
                <a:cubicBezTo>
                  <a:pt x="375183" y="1228685"/>
                  <a:pt x="330934" y="1332904"/>
                  <a:pt x="297092" y="1441707"/>
                </a:cubicBezTo>
                <a:lnTo>
                  <a:pt x="288446" y="1475336"/>
                </a:lnTo>
                <a:lnTo>
                  <a:pt x="182019" y="1475336"/>
                </a:lnTo>
                <a:cubicBezTo>
                  <a:pt x="81493" y="1475336"/>
                  <a:pt x="0" y="1556829"/>
                  <a:pt x="0" y="1657355"/>
                </a:cubicBez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0" name="Стрелка: вверх 63">
            <a:extLst>
              <a:ext uri="{FF2B5EF4-FFF2-40B4-BE49-F238E27FC236}">
                <a16:creationId xmlns:a16="http://schemas.microsoft.com/office/drawing/2014/main" id="{8D4C8B95-AE7F-4C74-B408-5D15E3032765}"/>
              </a:ext>
            </a:extLst>
          </xdr:cNvPr>
          <xdr:cNvSpPr/>
        </xdr:nvSpPr>
        <xdr:spPr>
          <a:xfrm rot="2740581">
            <a:off x="-879362" y="1042552"/>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1" name="Стрелка: вверх 64">
            <a:extLst>
              <a:ext uri="{FF2B5EF4-FFF2-40B4-BE49-F238E27FC236}">
                <a16:creationId xmlns:a16="http://schemas.microsoft.com/office/drawing/2014/main" id="{7C04B9DA-46C2-4200-B104-C680B22452C2}"/>
              </a:ext>
            </a:extLst>
          </xdr:cNvPr>
          <xdr:cNvSpPr/>
        </xdr:nvSpPr>
        <xdr:spPr>
          <a:xfrm rot="5400000">
            <a:off x="-842935" y="1127078"/>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2" name="Стрелка: вверх 65">
            <a:extLst>
              <a:ext uri="{FF2B5EF4-FFF2-40B4-BE49-F238E27FC236}">
                <a16:creationId xmlns:a16="http://schemas.microsoft.com/office/drawing/2014/main" id="{2522B830-B069-4DA6-9BB6-8779BF55B64E}"/>
              </a:ext>
            </a:extLst>
          </xdr:cNvPr>
          <xdr:cNvSpPr/>
        </xdr:nvSpPr>
        <xdr:spPr>
          <a:xfrm rot="18859419" flipV="1">
            <a:off x="-879362" y="1211603"/>
            <a:ext cx="90170" cy="220067"/>
          </a:xfrm>
          <a:prstGeom prst="upArrow">
            <a:avLst>
              <a:gd name="adj1" fmla="val 35687"/>
              <a:gd name="adj2" fmla="val 51135"/>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3" name="Полилиния: фигура 66">
            <a:extLst>
              <a:ext uri="{FF2B5EF4-FFF2-40B4-BE49-F238E27FC236}">
                <a16:creationId xmlns:a16="http://schemas.microsoft.com/office/drawing/2014/main" id="{C132EB87-23F4-4A80-9484-421C4D751721}"/>
              </a:ext>
            </a:extLst>
          </xdr:cNvPr>
          <xdr:cNvSpPr/>
        </xdr:nvSpPr>
        <xdr:spPr>
          <a:xfrm>
            <a:off x="-1154484" y="843089"/>
            <a:ext cx="759196" cy="776810"/>
          </a:xfrm>
          <a:custGeom>
            <a:avLst/>
            <a:gdLst>
              <a:gd name="connsiteX0" fmla="*/ 1946623 w 2178050"/>
              <a:gd name="connsiteY0" fmla="*/ 1417373 h 2228587"/>
              <a:gd name="connsiteX1" fmla="*/ 2006452 w 2178050"/>
              <a:gd name="connsiteY1" fmla="*/ 1548087 h 2228587"/>
              <a:gd name="connsiteX2" fmla="*/ 1979608 w 2178050"/>
              <a:gd name="connsiteY2" fmla="*/ 1603813 h 2228587"/>
              <a:gd name="connsiteX3" fmla="*/ 1089025 w 2178050"/>
              <a:gd name="connsiteY3" fmla="*/ 2133865 h 2228587"/>
              <a:gd name="connsiteX4" fmla="*/ 1070803 w 2178050"/>
              <a:gd name="connsiteY4" fmla="*/ 2132945 h 2228587"/>
              <a:gd name="connsiteX5" fmla="*/ 1070803 w 2178050"/>
              <a:gd name="connsiteY5" fmla="*/ 2228587 h 2228587"/>
              <a:gd name="connsiteX6" fmla="*/ 751715 w 2178050"/>
              <a:gd name="connsiteY6" fmla="*/ 2082537 h 2228587"/>
              <a:gd name="connsiteX7" fmla="*/ 1070803 w 2178050"/>
              <a:gd name="connsiteY7" fmla="*/ 1936487 h 2228587"/>
              <a:gd name="connsiteX8" fmla="*/ 1070803 w 2178050"/>
              <a:gd name="connsiteY8" fmla="*/ 2028170 h 2228587"/>
              <a:gd name="connsiteX9" fmla="*/ 1089025 w 2178050"/>
              <a:gd name="connsiteY9" fmla="*/ 2029090 h 2228587"/>
              <a:gd name="connsiteX10" fmla="*/ 1925716 w 2178050"/>
              <a:gd name="connsiteY10" fmla="*/ 1474494 h 2228587"/>
              <a:gd name="connsiteX11" fmla="*/ 146050 w 2178050"/>
              <a:gd name="connsiteY11" fmla="*/ 772848 h 2228587"/>
              <a:gd name="connsiteX12" fmla="*/ 292100 w 2178050"/>
              <a:gd name="connsiteY12" fmla="*/ 1091936 h 2228587"/>
              <a:gd name="connsiteX13" fmla="*/ 182445 w 2178050"/>
              <a:gd name="connsiteY13" fmla="*/ 1091936 h 2228587"/>
              <a:gd name="connsiteX14" fmla="*/ 180975 w 2178050"/>
              <a:gd name="connsiteY14" fmla="*/ 1121040 h 2228587"/>
              <a:gd name="connsiteX15" fmla="*/ 735571 w 2178050"/>
              <a:gd name="connsiteY15" fmla="*/ 1957731 h 2228587"/>
              <a:gd name="connsiteX16" fmla="*/ 796925 w 2178050"/>
              <a:gd name="connsiteY16" fmla="*/ 1980187 h 2228587"/>
              <a:gd name="connsiteX17" fmla="*/ 796925 w 2178050"/>
              <a:gd name="connsiteY17" fmla="*/ 1990794 h 2228587"/>
              <a:gd name="connsiteX18" fmla="*/ 676980 w 2178050"/>
              <a:gd name="connsiteY18" fmla="*/ 2045694 h 2228587"/>
              <a:gd name="connsiteX19" fmla="*/ 606253 w 2178050"/>
              <a:gd name="connsiteY19" fmla="*/ 2011623 h 2228587"/>
              <a:gd name="connsiteX20" fmla="*/ 76200 w 2178050"/>
              <a:gd name="connsiteY20" fmla="*/ 1121040 h 2228587"/>
              <a:gd name="connsiteX21" fmla="*/ 77670 w 2178050"/>
              <a:gd name="connsiteY21" fmla="*/ 1091936 h 2228587"/>
              <a:gd name="connsiteX22" fmla="*/ 0 w 2178050"/>
              <a:gd name="connsiteY22" fmla="*/ 1091936 h 2228587"/>
              <a:gd name="connsiteX23" fmla="*/ 1488809 w 2178050"/>
              <a:gd name="connsiteY23" fmla="*/ 190480 h 2228587"/>
              <a:gd name="connsiteX24" fmla="*/ 1571798 w 2178050"/>
              <a:gd name="connsiteY24" fmla="*/ 230458 h 2228587"/>
              <a:gd name="connsiteX25" fmla="*/ 2101850 w 2178050"/>
              <a:gd name="connsiteY25" fmla="*/ 1121040 h 2228587"/>
              <a:gd name="connsiteX26" fmla="*/ 2100795 w 2178050"/>
              <a:gd name="connsiteY26" fmla="*/ 1141941 h 2228587"/>
              <a:gd name="connsiteX27" fmla="*/ 2178050 w 2178050"/>
              <a:gd name="connsiteY27" fmla="*/ 1141941 h 2228587"/>
              <a:gd name="connsiteX28" fmla="*/ 2032000 w 2178050"/>
              <a:gd name="connsiteY28" fmla="*/ 1461029 h 2228587"/>
              <a:gd name="connsiteX29" fmla="*/ 1885950 w 2178050"/>
              <a:gd name="connsiteY29" fmla="*/ 1141941 h 2228587"/>
              <a:gd name="connsiteX30" fmla="*/ 1996020 w 2178050"/>
              <a:gd name="connsiteY30" fmla="*/ 1141941 h 2228587"/>
              <a:gd name="connsiteX31" fmla="*/ 1997075 w 2178050"/>
              <a:gd name="connsiteY31" fmla="*/ 1121040 h 2228587"/>
              <a:gd name="connsiteX32" fmla="*/ 1359051 w 2178050"/>
              <a:gd name="connsiteY32" fmla="*/ 253814 h 2228587"/>
              <a:gd name="connsiteX33" fmla="*/ 1353535 w 2178050"/>
              <a:gd name="connsiteY33" fmla="*/ 252396 h 2228587"/>
              <a:gd name="connsiteX34" fmla="*/ 1112043 w 2178050"/>
              <a:gd name="connsiteY34" fmla="*/ 0 h 2228587"/>
              <a:gd name="connsiteX35" fmla="*/ 1431131 w 2178050"/>
              <a:gd name="connsiteY35" fmla="*/ 146050 h 2228587"/>
              <a:gd name="connsiteX36" fmla="*/ 1112043 w 2178050"/>
              <a:gd name="connsiteY36" fmla="*/ 292100 h 2228587"/>
              <a:gd name="connsiteX37" fmla="*/ 1112043 w 2178050"/>
              <a:gd name="connsiteY37" fmla="*/ 214152 h 2228587"/>
              <a:gd name="connsiteX38" fmla="*/ 1089025 w 2178050"/>
              <a:gd name="connsiteY38" fmla="*/ 212990 h 2228587"/>
              <a:gd name="connsiteX39" fmla="*/ 252334 w 2178050"/>
              <a:gd name="connsiteY39" fmla="*/ 767586 h 2228587"/>
              <a:gd name="connsiteX40" fmla="*/ 231362 w 2178050"/>
              <a:gd name="connsiteY40" fmla="*/ 824886 h 2228587"/>
              <a:gd name="connsiteX41" fmla="*/ 171523 w 2178050"/>
              <a:gd name="connsiteY41" fmla="*/ 694150 h 2228587"/>
              <a:gd name="connsiteX42" fmla="*/ 198443 w 2178050"/>
              <a:gd name="connsiteY42" fmla="*/ 638267 h 2228587"/>
              <a:gd name="connsiteX43" fmla="*/ 1089025 w 2178050"/>
              <a:gd name="connsiteY43" fmla="*/ 108215 h 2228587"/>
              <a:gd name="connsiteX44" fmla="*/ 1112043 w 2178050"/>
              <a:gd name="connsiteY44" fmla="*/ 109377 h 2228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2178050" h="2228587">
                <a:moveTo>
                  <a:pt x="1946623" y="1417373"/>
                </a:moveTo>
                <a:lnTo>
                  <a:pt x="2006452" y="1548087"/>
                </a:lnTo>
                <a:lnTo>
                  <a:pt x="1979608" y="1603813"/>
                </a:lnTo>
                <a:cubicBezTo>
                  <a:pt x="1808097" y="1919536"/>
                  <a:pt x="1473591" y="2133865"/>
                  <a:pt x="1089025" y="2133865"/>
                </a:cubicBezTo>
                <a:lnTo>
                  <a:pt x="1070803" y="2132945"/>
                </a:lnTo>
                <a:lnTo>
                  <a:pt x="1070803" y="2228587"/>
                </a:lnTo>
                <a:lnTo>
                  <a:pt x="751715" y="2082537"/>
                </a:lnTo>
                <a:lnTo>
                  <a:pt x="1070803" y="1936487"/>
                </a:lnTo>
                <a:lnTo>
                  <a:pt x="1070803" y="2028170"/>
                </a:lnTo>
                <a:lnTo>
                  <a:pt x="1089025" y="2029090"/>
                </a:lnTo>
                <a:cubicBezTo>
                  <a:pt x="1465152" y="2029090"/>
                  <a:pt x="1787867" y="1800407"/>
                  <a:pt x="1925716" y="1474494"/>
                </a:cubicBezTo>
                <a:close/>
                <a:moveTo>
                  <a:pt x="146050" y="772848"/>
                </a:moveTo>
                <a:lnTo>
                  <a:pt x="292100" y="1091936"/>
                </a:lnTo>
                <a:lnTo>
                  <a:pt x="182445" y="1091936"/>
                </a:lnTo>
                <a:lnTo>
                  <a:pt x="180975" y="1121040"/>
                </a:lnTo>
                <a:cubicBezTo>
                  <a:pt x="180975" y="1497167"/>
                  <a:pt x="409658" y="1819882"/>
                  <a:pt x="735571" y="1957731"/>
                </a:cubicBezTo>
                <a:lnTo>
                  <a:pt x="796925" y="1980187"/>
                </a:lnTo>
                <a:lnTo>
                  <a:pt x="796925" y="1990794"/>
                </a:lnTo>
                <a:lnTo>
                  <a:pt x="676980" y="2045694"/>
                </a:lnTo>
                <a:lnTo>
                  <a:pt x="606253" y="2011623"/>
                </a:lnTo>
                <a:cubicBezTo>
                  <a:pt x="290529" y="1840112"/>
                  <a:pt x="76200" y="1505606"/>
                  <a:pt x="76200" y="1121040"/>
                </a:cubicBezTo>
                <a:lnTo>
                  <a:pt x="77670" y="1091936"/>
                </a:lnTo>
                <a:lnTo>
                  <a:pt x="0" y="1091936"/>
                </a:lnTo>
                <a:close/>
                <a:moveTo>
                  <a:pt x="1488809" y="190480"/>
                </a:moveTo>
                <a:lnTo>
                  <a:pt x="1571798" y="230458"/>
                </a:lnTo>
                <a:cubicBezTo>
                  <a:pt x="1887521" y="401969"/>
                  <a:pt x="2101850" y="736475"/>
                  <a:pt x="2101850" y="1121040"/>
                </a:cubicBezTo>
                <a:lnTo>
                  <a:pt x="2100795" y="1141941"/>
                </a:lnTo>
                <a:lnTo>
                  <a:pt x="2178050" y="1141941"/>
                </a:lnTo>
                <a:lnTo>
                  <a:pt x="2032000" y="1461029"/>
                </a:lnTo>
                <a:lnTo>
                  <a:pt x="1885950" y="1141941"/>
                </a:lnTo>
                <a:lnTo>
                  <a:pt x="1996020" y="1141941"/>
                </a:lnTo>
                <a:lnTo>
                  <a:pt x="1997075" y="1121040"/>
                </a:lnTo>
                <a:cubicBezTo>
                  <a:pt x="1997075" y="713570"/>
                  <a:pt x="1728690" y="368784"/>
                  <a:pt x="1359051" y="253814"/>
                </a:cubicBezTo>
                <a:lnTo>
                  <a:pt x="1353535" y="252396"/>
                </a:lnTo>
                <a:close/>
                <a:moveTo>
                  <a:pt x="1112043" y="0"/>
                </a:moveTo>
                <a:lnTo>
                  <a:pt x="1431131" y="146050"/>
                </a:lnTo>
                <a:lnTo>
                  <a:pt x="1112043" y="292100"/>
                </a:lnTo>
                <a:lnTo>
                  <a:pt x="1112043" y="214152"/>
                </a:lnTo>
                <a:lnTo>
                  <a:pt x="1089025" y="212990"/>
                </a:lnTo>
                <a:cubicBezTo>
                  <a:pt x="712899" y="212990"/>
                  <a:pt x="390184" y="441673"/>
                  <a:pt x="252334" y="767586"/>
                </a:cubicBezTo>
                <a:lnTo>
                  <a:pt x="231362" y="824886"/>
                </a:lnTo>
                <a:lnTo>
                  <a:pt x="171523" y="694150"/>
                </a:lnTo>
                <a:lnTo>
                  <a:pt x="198443" y="638267"/>
                </a:lnTo>
                <a:cubicBezTo>
                  <a:pt x="369954" y="322544"/>
                  <a:pt x="704460" y="108215"/>
                  <a:pt x="1089025" y="108215"/>
                </a:cubicBezTo>
                <a:lnTo>
                  <a:pt x="1112043" y="109377"/>
                </a:lnTo>
                <a:close/>
              </a:path>
            </a:pathLst>
          </a:cu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4" name="Овал 153">
            <a:extLst>
              <a:ext uri="{FF2B5EF4-FFF2-40B4-BE49-F238E27FC236}">
                <a16:creationId xmlns:a16="http://schemas.microsoft.com/office/drawing/2014/main" id="{AB64E5F5-6CC2-44C7-B7D1-F81CEDF2CACF}"/>
              </a:ext>
            </a:extLst>
          </xdr:cNvPr>
          <xdr:cNvSpPr/>
        </xdr:nvSpPr>
        <xdr:spPr>
          <a:xfrm>
            <a:off x="-671885" y="1180112"/>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5" name="Овал 154">
            <a:extLst>
              <a:ext uri="{FF2B5EF4-FFF2-40B4-BE49-F238E27FC236}">
                <a16:creationId xmlns:a16="http://schemas.microsoft.com/office/drawing/2014/main" id="{0BDBC7EF-F67E-4F3B-8A03-23B5B3B01355}"/>
              </a:ext>
            </a:extLst>
          </xdr:cNvPr>
          <xdr:cNvSpPr/>
        </xdr:nvSpPr>
        <xdr:spPr>
          <a:xfrm>
            <a:off x="-758760" y="974818"/>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6" name="Овал 155">
            <a:extLst>
              <a:ext uri="{FF2B5EF4-FFF2-40B4-BE49-F238E27FC236}">
                <a16:creationId xmlns:a16="http://schemas.microsoft.com/office/drawing/2014/main" id="{F84F5117-7A05-4EB8-AAA0-E44A140F0B6E}"/>
              </a:ext>
            </a:extLst>
          </xdr:cNvPr>
          <xdr:cNvSpPr/>
        </xdr:nvSpPr>
        <xdr:spPr>
          <a:xfrm>
            <a:off x="-764294" y="1394257"/>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7" name="Овал 156">
            <a:extLst>
              <a:ext uri="{FF2B5EF4-FFF2-40B4-BE49-F238E27FC236}">
                <a16:creationId xmlns:a16="http://schemas.microsoft.com/office/drawing/2014/main" id="{74AF75EF-ADEC-4404-8CE4-3643BB4D12D3}"/>
              </a:ext>
            </a:extLst>
          </xdr:cNvPr>
          <xdr:cNvSpPr/>
        </xdr:nvSpPr>
        <xdr:spPr>
          <a:xfrm>
            <a:off x="-1041196" y="1146683"/>
            <a:ext cx="176266" cy="17626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8" name="Овал 157">
            <a:extLst>
              <a:ext uri="{FF2B5EF4-FFF2-40B4-BE49-F238E27FC236}">
                <a16:creationId xmlns:a16="http://schemas.microsoft.com/office/drawing/2014/main" id="{26965CCD-6829-4248-A2A7-7EE093AA6DCC}"/>
              </a:ext>
            </a:extLst>
          </xdr:cNvPr>
          <xdr:cNvSpPr/>
        </xdr:nvSpPr>
        <xdr:spPr>
          <a:xfrm>
            <a:off x="-1007768" y="1180112"/>
            <a:ext cx="109408" cy="109406"/>
          </a:xfrm>
          <a:prstGeom prst="ellipse">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0</xdr:col>
      <xdr:colOff>404971</xdr:colOff>
      <xdr:row>1</xdr:row>
      <xdr:rowOff>65246</xdr:rowOff>
    </xdr:from>
    <xdr:to>
      <xdr:col>1</xdr:col>
      <xdr:colOff>2139606</xdr:colOff>
      <xdr:row>4</xdr:row>
      <xdr:rowOff>91939</xdr:rowOff>
    </xdr:to>
    <xdr:grpSp>
      <xdr:nvGrpSpPr>
        <xdr:cNvPr id="159" name="Группа 158">
          <a:extLst>
            <a:ext uri="{FF2B5EF4-FFF2-40B4-BE49-F238E27FC236}">
              <a16:creationId xmlns:a16="http://schemas.microsoft.com/office/drawing/2014/main" id="{87F1C495-48A2-441B-9EFF-B6D6B51D3121}"/>
            </a:ext>
          </a:extLst>
        </xdr:cNvPr>
        <xdr:cNvGrpSpPr/>
      </xdr:nvGrpSpPr>
      <xdr:grpSpPr>
        <a:xfrm>
          <a:off x="404971" y="255746"/>
          <a:ext cx="2153735" cy="598193"/>
          <a:chOff x="410088" y="1185505"/>
          <a:chExt cx="2168975" cy="567382"/>
        </a:xfrm>
      </xdr:grpSpPr>
      <xdr:sp macro="" textlink="">
        <xdr:nvSpPr>
          <xdr:cNvPr id="160" name="TextBox 73">
            <a:extLst>
              <a:ext uri="{FF2B5EF4-FFF2-40B4-BE49-F238E27FC236}">
                <a16:creationId xmlns:a16="http://schemas.microsoft.com/office/drawing/2014/main" id="{292A67B4-5CED-499F-8602-159F3EEE2DC5}"/>
              </a:ext>
            </a:extLst>
          </xdr:cNvPr>
          <xdr:cNvSpPr txBox="1"/>
        </xdr:nvSpPr>
        <xdr:spPr>
          <a:xfrm>
            <a:off x="1100039" y="1185505"/>
            <a:ext cx="1479024" cy="567382"/>
          </a:xfrm>
          <a:prstGeom prst="round2DiagRect">
            <a:avLst/>
          </a:prstGeom>
          <a:solidFill>
            <a:srgbClr val="0033CC"/>
          </a:solidFill>
        </xdr:spPr>
        <xdr:txBody>
          <a:bodyPr wrap="square" lIns="0" tIns="0" rIns="0" bIns="0"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ru-RU" sz="1400">
                <a:solidFill>
                  <a:schemeClr val="bg1"/>
                </a:solidFill>
                <a:latin typeface="Segoe UI" panose="020B0502040204020203" pitchFamily="34" charset="0"/>
                <a:cs typeface="Segoe UI" panose="020B0502040204020203" pitchFamily="34" charset="0"/>
              </a:rPr>
              <a:t>Безопасность </a:t>
            </a:r>
            <a:r>
              <a:rPr lang="en-US" sz="1400">
                <a:solidFill>
                  <a:schemeClr val="bg1"/>
                </a:solidFill>
                <a:latin typeface="Segoe UI" panose="020B0502040204020203" pitchFamily="34" charset="0"/>
                <a:cs typeface="Segoe UI" panose="020B0502040204020203" pitchFamily="34" charset="0"/>
              </a:rPr>
              <a:t>nodes</a:t>
            </a:r>
          </a:p>
        </xdr:txBody>
      </xdr:sp>
      <xdr:grpSp>
        <xdr:nvGrpSpPr>
          <xdr:cNvPr id="161" name="Группа 160">
            <a:extLst>
              <a:ext uri="{FF2B5EF4-FFF2-40B4-BE49-F238E27FC236}">
                <a16:creationId xmlns:a16="http://schemas.microsoft.com/office/drawing/2014/main" id="{30A815CA-E21F-4E43-8ABF-4EA2A25F2A9A}"/>
              </a:ext>
            </a:extLst>
          </xdr:cNvPr>
          <xdr:cNvGrpSpPr>
            <a:grpSpLocks noChangeAspect="1"/>
          </xdr:cNvGrpSpPr>
        </xdr:nvGrpSpPr>
        <xdr:grpSpPr>
          <a:xfrm>
            <a:off x="410088" y="1185505"/>
            <a:ext cx="360435" cy="567382"/>
            <a:chOff x="606861" y="1802438"/>
            <a:chExt cx="199023" cy="313294"/>
          </a:xfrm>
        </xdr:grpSpPr>
        <xdr:sp macro="" textlink="">
          <xdr:nvSpPr>
            <xdr:cNvPr id="162" name="Скругленный прямоугольник 161">
              <a:extLst>
                <a:ext uri="{FF2B5EF4-FFF2-40B4-BE49-F238E27FC236}">
                  <a16:creationId xmlns:a16="http://schemas.microsoft.com/office/drawing/2014/main" id="{538E5C13-07D9-4208-B49A-770B8A8B9D82}"/>
                </a:ext>
              </a:extLst>
            </xdr:cNvPr>
            <xdr:cNvSpPr/>
          </xdr:nvSpPr>
          <xdr:spPr>
            <a:xfrm>
              <a:off x="606861" y="1802438"/>
              <a:ext cx="199023" cy="313294"/>
            </a:xfrm>
            <a:prstGeom prst="roundRect">
              <a:avLst>
                <a:gd name="adj" fmla="val 9968"/>
              </a:avLst>
            </a:prstGeom>
            <a:solidFill>
              <a:srgbClr val="00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3" name="Скругленный прямоугольник 162">
              <a:extLst>
                <a:ext uri="{FF2B5EF4-FFF2-40B4-BE49-F238E27FC236}">
                  <a16:creationId xmlns:a16="http://schemas.microsoft.com/office/drawing/2014/main" id="{F2830DE1-F9C4-498A-AE9E-2C7BACF835F8}"/>
                </a:ext>
              </a:extLst>
            </xdr:cNvPr>
            <xdr:cNvSpPr/>
          </xdr:nvSpPr>
          <xdr:spPr>
            <a:xfrm>
              <a:off x="641380" y="1855764"/>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4" name="Скругленный прямоугольник 163">
              <a:extLst>
                <a:ext uri="{FF2B5EF4-FFF2-40B4-BE49-F238E27FC236}">
                  <a16:creationId xmlns:a16="http://schemas.microsoft.com/office/drawing/2014/main" id="{B8850892-CA78-4F55-A0F7-7C774E0C9723}"/>
                </a:ext>
              </a:extLst>
            </xdr:cNvPr>
            <xdr:cNvSpPr/>
          </xdr:nvSpPr>
          <xdr:spPr>
            <a:xfrm>
              <a:off x="641380" y="1905281"/>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5" name="Скругленный прямоугольник 164">
              <a:extLst>
                <a:ext uri="{FF2B5EF4-FFF2-40B4-BE49-F238E27FC236}">
                  <a16:creationId xmlns:a16="http://schemas.microsoft.com/office/drawing/2014/main" id="{AFCC6ECD-20D8-4AB2-913F-B8523AD01BBD}"/>
                </a:ext>
              </a:extLst>
            </xdr:cNvPr>
            <xdr:cNvSpPr/>
          </xdr:nvSpPr>
          <xdr:spPr>
            <a:xfrm>
              <a:off x="641380" y="1954799"/>
              <a:ext cx="129984" cy="33329"/>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6" name="Овал 165">
              <a:extLst>
                <a:ext uri="{FF2B5EF4-FFF2-40B4-BE49-F238E27FC236}">
                  <a16:creationId xmlns:a16="http://schemas.microsoft.com/office/drawing/2014/main" id="{A893130B-32EA-4994-BA71-A9F3D44B307A}"/>
                </a:ext>
              </a:extLst>
            </xdr:cNvPr>
            <xdr:cNvSpPr/>
          </xdr:nvSpPr>
          <xdr:spPr>
            <a:xfrm>
              <a:off x="685899" y="2048122"/>
              <a:ext cx="40947" cy="40947"/>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4</xdr:col>
      <xdr:colOff>2278345</xdr:colOff>
      <xdr:row>1</xdr:row>
      <xdr:rowOff>60960</xdr:rowOff>
    </xdr:from>
    <xdr:to>
      <xdr:col>5</xdr:col>
      <xdr:colOff>436859</xdr:colOff>
      <xdr:row>4</xdr:row>
      <xdr:rowOff>87653</xdr:rowOff>
    </xdr:to>
    <xdr:grpSp>
      <xdr:nvGrpSpPr>
        <xdr:cNvPr id="167" name="Группа 166">
          <a:extLst>
            <a:ext uri="{FF2B5EF4-FFF2-40B4-BE49-F238E27FC236}">
              <a16:creationId xmlns:a16="http://schemas.microsoft.com/office/drawing/2014/main" id="{EA2D34C7-22EB-4C5A-907F-A7D7B9081E00}"/>
            </a:ext>
          </a:extLst>
        </xdr:cNvPr>
        <xdr:cNvGrpSpPr>
          <a:grpSpLocks noChangeAspect="1"/>
        </xdr:cNvGrpSpPr>
      </xdr:nvGrpSpPr>
      <xdr:grpSpPr>
        <a:xfrm>
          <a:off x="9374470" y="251460"/>
          <a:ext cx="434989" cy="598193"/>
          <a:chOff x="2963653" y="203674"/>
          <a:chExt cx="5472608" cy="6753713"/>
        </a:xfrm>
        <a:solidFill>
          <a:srgbClr val="0033CC"/>
        </a:solidFill>
      </xdr:grpSpPr>
      <xdr:sp macro="" textlink="">
        <xdr:nvSpPr>
          <xdr:cNvPr id="168" name="Полилиния 167">
            <a:extLst>
              <a:ext uri="{FF2B5EF4-FFF2-40B4-BE49-F238E27FC236}">
                <a16:creationId xmlns:a16="http://schemas.microsoft.com/office/drawing/2014/main" id="{4955F2ED-BCA2-48E3-8BFF-3EA2B57AB04C}"/>
              </a:ext>
            </a:extLst>
          </xdr:cNvPr>
          <xdr:cNvSpPr/>
        </xdr:nvSpPr>
        <xdr:spPr bwMode="auto">
          <a:xfrm>
            <a:off x="2963653" y="3825048"/>
            <a:ext cx="5472608" cy="3132339"/>
          </a:xfrm>
          <a:custGeom>
            <a:avLst/>
            <a:gdLst>
              <a:gd name="connsiteX0" fmla="*/ 4661169 w 5472608"/>
              <a:gd name="connsiteY0" fmla="*/ 404056 h 3132348"/>
              <a:gd name="connsiteX1" fmla="*/ 4661169 w 5472608"/>
              <a:gd name="connsiteY1" fmla="*/ 2720536 h 3132348"/>
              <a:gd name="connsiteX2" fmla="*/ 5046931 w 5472608"/>
              <a:gd name="connsiteY2" fmla="*/ 2720536 h 3132348"/>
              <a:gd name="connsiteX3" fmla="*/ 5046931 w 5472608"/>
              <a:gd name="connsiteY3" fmla="*/ 404056 h 3132348"/>
              <a:gd name="connsiteX4" fmla="*/ 3602296 w 5472608"/>
              <a:gd name="connsiteY4" fmla="*/ 404056 h 3132348"/>
              <a:gd name="connsiteX5" fmla="*/ 3602296 w 5472608"/>
              <a:gd name="connsiteY5" fmla="*/ 2720536 h 3132348"/>
              <a:gd name="connsiteX6" fmla="*/ 3988058 w 5472608"/>
              <a:gd name="connsiteY6" fmla="*/ 2720536 h 3132348"/>
              <a:gd name="connsiteX7" fmla="*/ 3988058 w 5472608"/>
              <a:gd name="connsiteY7" fmla="*/ 404056 h 3132348"/>
              <a:gd name="connsiteX8" fmla="*/ 2543423 w 5472608"/>
              <a:gd name="connsiteY8" fmla="*/ 404056 h 3132348"/>
              <a:gd name="connsiteX9" fmla="*/ 2543423 w 5472608"/>
              <a:gd name="connsiteY9" fmla="*/ 2720536 h 3132348"/>
              <a:gd name="connsiteX10" fmla="*/ 2929185 w 5472608"/>
              <a:gd name="connsiteY10" fmla="*/ 2720536 h 3132348"/>
              <a:gd name="connsiteX11" fmla="*/ 2929185 w 5472608"/>
              <a:gd name="connsiteY11" fmla="*/ 404056 h 3132348"/>
              <a:gd name="connsiteX12" fmla="*/ 1484550 w 5472608"/>
              <a:gd name="connsiteY12" fmla="*/ 404056 h 3132348"/>
              <a:gd name="connsiteX13" fmla="*/ 1484550 w 5472608"/>
              <a:gd name="connsiteY13" fmla="*/ 2720536 h 3132348"/>
              <a:gd name="connsiteX14" fmla="*/ 1870312 w 5472608"/>
              <a:gd name="connsiteY14" fmla="*/ 2720536 h 3132348"/>
              <a:gd name="connsiteX15" fmla="*/ 1870312 w 5472608"/>
              <a:gd name="connsiteY15" fmla="*/ 404056 h 3132348"/>
              <a:gd name="connsiteX16" fmla="*/ 425677 w 5472608"/>
              <a:gd name="connsiteY16" fmla="*/ 404056 h 3132348"/>
              <a:gd name="connsiteX17" fmla="*/ 425677 w 5472608"/>
              <a:gd name="connsiteY17" fmla="*/ 2720536 h 3132348"/>
              <a:gd name="connsiteX18" fmla="*/ 811439 w 5472608"/>
              <a:gd name="connsiteY18" fmla="*/ 2720536 h 3132348"/>
              <a:gd name="connsiteX19" fmla="*/ 811439 w 5472608"/>
              <a:gd name="connsiteY19" fmla="*/ 404056 h 3132348"/>
              <a:gd name="connsiteX20" fmla="*/ 112483 w 5472608"/>
              <a:gd name="connsiteY20" fmla="*/ 0 h 3132348"/>
              <a:gd name="connsiteX21" fmla="*/ 5360125 w 5472608"/>
              <a:gd name="connsiteY21" fmla="*/ 0 h 3132348"/>
              <a:gd name="connsiteX22" fmla="*/ 5472608 w 5472608"/>
              <a:gd name="connsiteY22" fmla="*/ 112483 h 3132348"/>
              <a:gd name="connsiteX23" fmla="*/ 5472608 w 5472608"/>
              <a:gd name="connsiteY23" fmla="*/ 3019865 h 3132348"/>
              <a:gd name="connsiteX24" fmla="*/ 5360125 w 5472608"/>
              <a:gd name="connsiteY24" fmla="*/ 3132348 h 3132348"/>
              <a:gd name="connsiteX25" fmla="*/ 112483 w 5472608"/>
              <a:gd name="connsiteY25" fmla="*/ 3132348 h 3132348"/>
              <a:gd name="connsiteX26" fmla="*/ 0 w 5472608"/>
              <a:gd name="connsiteY26" fmla="*/ 3019865 h 3132348"/>
              <a:gd name="connsiteX27" fmla="*/ 0 w 5472608"/>
              <a:gd name="connsiteY27" fmla="*/ 112483 h 3132348"/>
              <a:gd name="connsiteX28" fmla="*/ 112483 w 5472608"/>
              <a:gd name="connsiteY28" fmla="*/ 0 h 31323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5472608" h="3132348">
                <a:moveTo>
                  <a:pt x="4661169" y="404056"/>
                </a:moveTo>
                <a:lnTo>
                  <a:pt x="4661169" y="2720536"/>
                </a:lnTo>
                <a:lnTo>
                  <a:pt x="5046931" y="2720536"/>
                </a:lnTo>
                <a:lnTo>
                  <a:pt x="5046931" y="404056"/>
                </a:lnTo>
                <a:close/>
                <a:moveTo>
                  <a:pt x="3602296" y="404056"/>
                </a:moveTo>
                <a:lnTo>
                  <a:pt x="3602296" y="2720536"/>
                </a:lnTo>
                <a:lnTo>
                  <a:pt x="3988058" y="2720536"/>
                </a:lnTo>
                <a:lnTo>
                  <a:pt x="3988058" y="404056"/>
                </a:lnTo>
                <a:close/>
                <a:moveTo>
                  <a:pt x="2543423" y="404056"/>
                </a:moveTo>
                <a:lnTo>
                  <a:pt x="2543423" y="2720536"/>
                </a:lnTo>
                <a:lnTo>
                  <a:pt x="2929185" y="2720536"/>
                </a:lnTo>
                <a:lnTo>
                  <a:pt x="2929185" y="404056"/>
                </a:lnTo>
                <a:close/>
                <a:moveTo>
                  <a:pt x="1484550" y="404056"/>
                </a:moveTo>
                <a:lnTo>
                  <a:pt x="1484550" y="2720536"/>
                </a:lnTo>
                <a:lnTo>
                  <a:pt x="1870312" y="2720536"/>
                </a:lnTo>
                <a:lnTo>
                  <a:pt x="1870312" y="404056"/>
                </a:lnTo>
                <a:close/>
                <a:moveTo>
                  <a:pt x="425677" y="404056"/>
                </a:moveTo>
                <a:lnTo>
                  <a:pt x="425677" y="2720536"/>
                </a:lnTo>
                <a:lnTo>
                  <a:pt x="811439" y="2720536"/>
                </a:lnTo>
                <a:lnTo>
                  <a:pt x="811439" y="404056"/>
                </a:lnTo>
                <a:close/>
                <a:moveTo>
                  <a:pt x="112483" y="0"/>
                </a:moveTo>
                <a:lnTo>
                  <a:pt x="5360125" y="0"/>
                </a:lnTo>
                <a:cubicBezTo>
                  <a:pt x="5422248" y="0"/>
                  <a:pt x="5472608" y="50360"/>
                  <a:pt x="5472608" y="112483"/>
                </a:cubicBezTo>
                <a:lnTo>
                  <a:pt x="5472608" y="3019865"/>
                </a:lnTo>
                <a:cubicBezTo>
                  <a:pt x="5472608" y="3081988"/>
                  <a:pt x="5422248" y="3132348"/>
                  <a:pt x="5360125" y="3132348"/>
                </a:cubicBezTo>
                <a:lnTo>
                  <a:pt x="112483" y="3132348"/>
                </a:lnTo>
                <a:cubicBezTo>
                  <a:pt x="50360" y="3132348"/>
                  <a:pt x="0" y="3081988"/>
                  <a:pt x="0" y="3019865"/>
                </a:cubicBezTo>
                <a:lnTo>
                  <a:pt x="0" y="112483"/>
                </a:lnTo>
                <a:cubicBezTo>
                  <a:pt x="0" y="50360"/>
                  <a:pt x="50360" y="0"/>
                  <a:pt x="112483"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69" name="Полилиния 168">
            <a:extLst>
              <a:ext uri="{FF2B5EF4-FFF2-40B4-BE49-F238E27FC236}">
                <a16:creationId xmlns:a16="http://schemas.microsoft.com/office/drawing/2014/main" id="{5479E3BF-61C3-40C8-AFA3-F7AD5D3B32F6}"/>
              </a:ext>
            </a:extLst>
          </xdr:cNvPr>
          <xdr:cNvSpPr/>
        </xdr:nvSpPr>
        <xdr:spPr bwMode="auto">
          <a:xfrm>
            <a:off x="3208540" y="3222504"/>
            <a:ext cx="468051" cy="555753"/>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0" name="Полилиния 169">
            <a:extLst>
              <a:ext uri="{FF2B5EF4-FFF2-40B4-BE49-F238E27FC236}">
                <a16:creationId xmlns:a16="http://schemas.microsoft.com/office/drawing/2014/main" id="{BB7F827E-26BD-4430-995A-7F43785F5A27}"/>
              </a:ext>
            </a:extLst>
          </xdr:cNvPr>
          <xdr:cNvSpPr/>
        </xdr:nvSpPr>
        <xdr:spPr bwMode="auto">
          <a:xfrm>
            <a:off x="5318419" y="1714499"/>
            <a:ext cx="799809" cy="822327"/>
          </a:xfrm>
          <a:custGeom>
            <a:avLst/>
            <a:gdLst>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50202 w 799805"/>
              <a:gd name="connsiteY4" fmla="*/ 547127 h 822323"/>
              <a:gd name="connsiteX5" fmla="*/ 166213 w 799805"/>
              <a:gd name="connsiteY5" fmla="*/ 581597 h 822323"/>
              <a:gd name="connsiteX6" fmla="*/ 203067 w 799805"/>
              <a:gd name="connsiteY6" fmla="*/ 617947 h 822323"/>
              <a:gd name="connsiteX7" fmla="*/ 250126 w 799805"/>
              <a:gd name="connsiteY7" fmla="*/ 639512 h 822323"/>
              <a:gd name="connsiteX8" fmla="*/ 288681 w 799805"/>
              <a:gd name="connsiteY8" fmla="*/ 667974 h 822323"/>
              <a:gd name="connsiteX9" fmla="*/ 309612 w 799805"/>
              <a:gd name="connsiteY9" fmla="*/ 691239 h 822323"/>
              <a:gd name="connsiteX10" fmla="*/ 538213 w 799805"/>
              <a:gd name="connsiteY10" fmla="*/ 800387 h 822323"/>
              <a:gd name="connsiteX11" fmla="*/ 493055 w 799805"/>
              <a:gd name="connsiteY11" fmla="*/ 814478 h 822323"/>
              <a:gd name="connsiteX12" fmla="*/ 415630 w 799805"/>
              <a:gd name="connsiteY12" fmla="*/ 822323 h 822323"/>
              <a:gd name="connsiteX13" fmla="*/ 119183 w 799805"/>
              <a:gd name="connsiteY13" fmla="*/ 681797 h 822323"/>
              <a:gd name="connsiteX14" fmla="*/ 75115 w 799805"/>
              <a:gd name="connsiteY14" fmla="*/ 608789 h 822323"/>
              <a:gd name="connsiteX15" fmla="*/ 64394 w 799805"/>
              <a:gd name="connsiteY15" fmla="*/ 609602 h 822323"/>
              <a:gd name="connsiteX16" fmla="*/ 41735 w 799805"/>
              <a:gd name="connsiteY16" fmla="*/ 594106 h 822323"/>
              <a:gd name="connsiteX17" fmla="*/ 39955 w 799805"/>
              <a:gd name="connsiteY17" fmla="*/ 592034 h 822323"/>
              <a:gd name="connsiteX18" fmla="*/ 56749 w 799805"/>
              <a:gd name="connsiteY18" fmla="*/ 555933 h 822323"/>
              <a:gd name="connsiteX19" fmla="*/ 63205 w 799805"/>
              <a:gd name="connsiteY19" fmla="*/ 509588 h 822323"/>
              <a:gd name="connsiteX20" fmla="*/ 13030 w 799805"/>
              <a:gd name="connsiteY20" fmla="*/ 399882 h 822323"/>
              <a:gd name="connsiteX21" fmla="*/ 0 w 799805"/>
              <a:gd name="connsiteY21" fmla="*/ 396069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39955 w 799805"/>
              <a:gd name="connsiteY16" fmla="*/ 592034 h 822323"/>
              <a:gd name="connsiteX17" fmla="*/ 56749 w 799805"/>
              <a:gd name="connsiteY17" fmla="*/ 555933 h 822323"/>
              <a:gd name="connsiteX18" fmla="*/ 63205 w 799805"/>
              <a:gd name="connsiteY18" fmla="*/ 509588 h 822323"/>
              <a:gd name="connsiteX19" fmla="*/ 13030 w 799805"/>
              <a:gd name="connsiteY19" fmla="*/ 399882 h 822323"/>
              <a:gd name="connsiteX20" fmla="*/ 0 w 799805"/>
              <a:gd name="connsiteY20" fmla="*/ 396069 h 822323"/>
              <a:gd name="connsiteX21" fmla="*/ 4863 w 799805"/>
              <a:gd name="connsiteY21" fmla="*/ 390526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38" fmla="*/ 275636 w 799805"/>
              <a:gd name="connsiteY38"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56749 w 799805"/>
              <a:gd name="connsiteY16" fmla="*/ 555933 h 822323"/>
              <a:gd name="connsiteX17" fmla="*/ 63205 w 799805"/>
              <a:gd name="connsiteY17" fmla="*/ 509588 h 822323"/>
              <a:gd name="connsiteX18" fmla="*/ 13030 w 799805"/>
              <a:gd name="connsiteY18" fmla="*/ 399882 h 822323"/>
              <a:gd name="connsiteX19" fmla="*/ 0 w 799805"/>
              <a:gd name="connsiteY19" fmla="*/ 396069 h 822323"/>
              <a:gd name="connsiteX20" fmla="*/ 4863 w 799805"/>
              <a:gd name="connsiteY20" fmla="*/ 390526 h 822323"/>
              <a:gd name="connsiteX21" fmla="*/ 275636 w 799805"/>
              <a:gd name="connsiteY21" fmla="*/ 0 h 822323"/>
              <a:gd name="connsiteX22" fmla="*/ 489448 w 799805"/>
              <a:gd name="connsiteY22" fmla="*/ 0 h 822323"/>
              <a:gd name="connsiteX23" fmla="*/ 489448 w 799805"/>
              <a:gd name="connsiteY23" fmla="*/ 57483 h 822323"/>
              <a:gd name="connsiteX24" fmla="*/ 493055 w 799805"/>
              <a:gd name="connsiteY24" fmla="*/ 57848 h 822323"/>
              <a:gd name="connsiteX25" fmla="*/ 799805 w 799805"/>
              <a:gd name="connsiteY25" fmla="*/ 436163 h 822323"/>
              <a:gd name="connsiteX26" fmla="*/ 769615 w 799805"/>
              <a:gd name="connsiteY26" fmla="*/ 586474 h 822323"/>
              <a:gd name="connsiteX27" fmla="*/ 746479 w 799805"/>
              <a:gd name="connsiteY27" fmla="*/ 629318 h 822323"/>
              <a:gd name="connsiteX28" fmla="*/ 744333 w 799805"/>
              <a:gd name="connsiteY28" fmla="*/ 626933 h 822323"/>
              <a:gd name="connsiteX29" fmla="*/ 538147 w 799805"/>
              <a:gd name="connsiteY29" fmla="*/ 528487 h 822323"/>
              <a:gd name="connsiteX30" fmla="*/ 551291 w 799805"/>
              <a:gd name="connsiteY30" fmla="*/ 505412 h 822323"/>
              <a:gd name="connsiteX31" fmla="*/ 563267 w 799805"/>
              <a:gd name="connsiteY31" fmla="*/ 435192 h 822323"/>
              <a:gd name="connsiteX32" fmla="*/ 470188 w 799805"/>
              <a:gd name="connsiteY32" fmla="*/ 268970 h 822323"/>
              <a:gd name="connsiteX33" fmla="*/ 420393 w 799805"/>
              <a:gd name="connsiteY33" fmla="*/ 257070 h 822323"/>
              <a:gd name="connsiteX34" fmla="*/ 372978 w 799805"/>
              <a:gd name="connsiteY34" fmla="*/ 244024 h 822323"/>
              <a:gd name="connsiteX35" fmla="*/ 291876 w 799805"/>
              <a:gd name="connsiteY35" fmla="*/ 154981 h 822323"/>
              <a:gd name="connsiteX36" fmla="*/ 281664 w 799805"/>
              <a:gd name="connsiteY36" fmla="*/ 99452 h 822323"/>
              <a:gd name="connsiteX37" fmla="*/ 275636 w 799805"/>
              <a:gd name="connsiteY37"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56749 w 799805"/>
              <a:gd name="connsiteY15" fmla="*/ 555933 h 822323"/>
              <a:gd name="connsiteX16" fmla="*/ 63205 w 799805"/>
              <a:gd name="connsiteY16" fmla="*/ 509588 h 822323"/>
              <a:gd name="connsiteX17" fmla="*/ 13030 w 799805"/>
              <a:gd name="connsiteY17" fmla="*/ 399882 h 822323"/>
              <a:gd name="connsiteX18" fmla="*/ 0 w 799805"/>
              <a:gd name="connsiteY18" fmla="*/ 396069 h 822323"/>
              <a:gd name="connsiteX19" fmla="*/ 4863 w 799805"/>
              <a:gd name="connsiteY19" fmla="*/ 390526 h 822323"/>
              <a:gd name="connsiteX20" fmla="*/ 275636 w 799805"/>
              <a:gd name="connsiteY20" fmla="*/ 0 h 822323"/>
              <a:gd name="connsiteX21" fmla="*/ 489448 w 799805"/>
              <a:gd name="connsiteY21" fmla="*/ 0 h 822323"/>
              <a:gd name="connsiteX22" fmla="*/ 489448 w 799805"/>
              <a:gd name="connsiteY22" fmla="*/ 57483 h 822323"/>
              <a:gd name="connsiteX23" fmla="*/ 493055 w 799805"/>
              <a:gd name="connsiteY23" fmla="*/ 57848 h 822323"/>
              <a:gd name="connsiteX24" fmla="*/ 799805 w 799805"/>
              <a:gd name="connsiteY24" fmla="*/ 436163 h 822323"/>
              <a:gd name="connsiteX25" fmla="*/ 769615 w 799805"/>
              <a:gd name="connsiteY25" fmla="*/ 586474 h 822323"/>
              <a:gd name="connsiteX26" fmla="*/ 746479 w 799805"/>
              <a:gd name="connsiteY26" fmla="*/ 629318 h 822323"/>
              <a:gd name="connsiteX27" fmla="*/ 744333 w 799805"/>
              <a:gd name="connsiteY27" fmla="*/ 626933 h 822323"/>
              <a:gd name="connsiteX28" fmla="*/ 538147 w 799805"/>
              <a:gd name="connsiteY28" fmla="*/ 528487 h 822323"/>
              <a:gd name="connsiteX29" fmla="*/ 551291 w 799805"/>
              <a:gd name="connsiteY29" fmla="*/ 505412 h 822323"/>
              <a:gd name="connsiteX30" fmla="*/ 563267 w 799805"/>
              <a:gd name="connsiteY30" fmla="*/ 435192 h 822323"/>
              <a:gd name="connsiteX31" fmla="*/ 470188 w 799805"/>
              <a:gd name="connsiteY31" fmla="*/ 268970 h 822323"/>
              <a:gd name="connsiteX32" fmla="*/ 420393 w 799805"/>
              <a:gd name="connsiteY32" fmla="*/ 257070 h 822323"/>
              <a:gd name="connsiteX33" fmla="*/ 372978 w 799805"/>
              <a:gd name="connsiteY33" fmla="*/ 244024 h 822323"/>
              <a:gd name="connsiteX34" fmla="*/ 291876 w 799805"/>
              <a:gd name="connsiteY34" fmla="*/ 154981 h 822323"/>
              <a:gd name="connsiteX35" fmla="*/ 281664 w 799805"/>
              <a:gd name="connsiteY35" fmla="*/ 99452 h 822323"/>
              <a:gd name="connsiteX36" fmla="*/ 275636 w 799805"/>
              <a:gd name="connsiteY36"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56749 w 799805"/>
              <a:gd name="connsiteY14" fmla="*/ 555933 h 822323"/>
              <a:gd name="connsiteX15" fmla="*/ 63205 w 799805"/>
              <a:gd name="connsiteY15" fmla="*/ 509588 h 822323"/>
              <a:gd name="connsiteX16" fmla="*/ 13030 w 799805"/>
              <a:gd name="connsiteY16" fmla="*/ 399882 h 822323"/>
              <a:gd name="connsiteX17" fmla="*/ 0 w 799805"/>
              <a:gd name="connsiteY17" fmla="*/ 396069 h 822323"/>
              <a:gd name="connsiteX18" fmla="*/ 4863 w 799805"/>
              <a:gd name="connsiteY18" fmla="*/ 390526 h 822323"/>
              <a:gd name="connsiteX19" fmla="*/ 275636 w 799805"/>
              <a:gd name="connsiteY19" fmla="*/ 0 h 822323"/>
              <a:gd name="connsiteX20" fmla="*/ 489448 w 799805"/>
              <a:gd name="connsiteY20" fmla="*/ 0 h 822323"/>
              <a:gd name="connsiteX21" fmla="*/ 489448 w 799805"/>
              <a:gd name="connsiteY21" fmla="*/ 57483 h 822323"/>
              <a:gd name="connsiteX22" fmla="*/ 493055 w 799805"/>
              <a:gd name="connsiteY22" fmla="*/ 57848 h 822323"/>
              <a:gd name="connsiteX23" fmla="*/ 799805 w 799805"/>
              <a:gd name="connsiteY23" fmla="*/ 436163 h 822323"/>
              <a:gd name="connsiteX24" fmla="*/ 769615 w 799805"/>
              <a:gd name="connsiteY24" fmla="*/ 586474 h 822323"/>
              <a:gd name="connsiteX25" fmla="*/ 746479 w 799805"/>
              <a:gd name="connsiteY25" fmla="*/ 629318 h 822323"/>
              <a:gd name="connsiteX26" fmla="*/ 744333 w 799805"/>
              <a:gd name="connsiteY26" fmla="*/ 626933 h 822323"/>
              <a:gd name="connsiteX27" fmla="*/ 538147 w 799805"/>
              <a:gd name="connsiteY27" fmla="*/ 528487 h 822323"/>
              <a:gd name="connsiteX28" fmla="*/ 551291 w 799805"/>
              <a:gd name="connsiteY28" fmla="*/ 505412 h 822323"/>
              <a:gd name="connsiteX29" fmla="*/ 563267 w 799805"/>
              <a:gd name="connsiteY29" fmla="*/ 435192 h 822323"/>
              <a:gd name="connsiteX30" fmla="*/ 470188 w 799805"/>
              <a:gd name="connsiteY30" fmla="*/ 268970 h 822323"/>
              <a:gd name="connsiteX31" fmla="*/ 420393 w 799805"/>
              <a:gd name="connsiteY31" fmla="*/ 257070 h 822323"/>
              <a:gd name="connsiteX32" fmla="*/ 372978 w 799805"/>
              <a:gd name="connsiteY32" fmla="*/ 244024 h 822323"/>
              <a:gd name="connsiteX33" fmla="*/ 291876 w 799805"/>
              <a:gd name="connsiteY33" fmla="*/ 154981 h 822323"/>
              <a:gd name="connsiteX34" fmla="*/ 281664 w 799805"/>
              <a:gd name="connsiteY34" fmla="*/ 99452 h 822323"/>
              <a:gd name="connsiteX35" fmla="*/ 275636 w 799805"/>
              <a:gd name="connsiteY35"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3205 w 799805"/>
              <a:gd name="connsiteY14" fmla="*/ 509588 h 822323"/>
              <a:gd name="connsiteX15" fmla="*/ 13030 w 799805"/>
              <a:gd name="connsiteY15" fmla="*/ 399882 h 822323"/>
              <a:gd name="connsiteX16" fmla="*/ 0 w 799805"/>
              <a:gd name="connsiteY16" fmla="*/ 396069 h 822323"/>
              <a:gd name="connsiteX17" fmla="*/ 4863 w 799805"/>
              <a:gd name="connsiteY17" fmla="*/ 390526 h 822323"/>
              <a:gd name="connsiteX18" fmla="*/ 275636 w 799805"/>
              <a:gd name="connsiteY18" fmla="*/ 0 h 822323"/>
              <a:gd name="connsiteX19" fmla="*/ 489448 w 799805"/>
              <a:gd name="connsiteY19" fmla="*/ 0 h 822323"/>
              <a:gd name="connsiteX20" fmla="*/ 489448 w 799805"/>
              <a:gd name="connsiteY20" fmla="*/ 57483 h 822323"/>
              <a:gd name="connsiteX21" fmla="*/ 493055 w 799805"/>
              <a:gd name="connsiteY21" fmla="*/ 57848 h 822323"/>
              <a:gd name="connsiteX22" fmla="*/ 799805 w 799805"/>
              <a:gd name="connsiteY22" fmla="*/ 436163 h 822323"/>
              <a:gd name="connsiteX23" fmla="*/ 769615 w 799805"/>
              <a:gd name="connsiteY23" fmla="*/ 586474 h 822323"/>
              <a:gd name="connsiteX24" fmla="*/ 746479 w 799805"/>
              <a:gd name="connsiteY24" fmla="*/ 629318 h 822323"/>
              <a:gd name="connsiteX25" fmla="*/ 744333 w 799805"/>
              <a:gd name="connsiteY25" fmla="*/ 626933 h 822323"/>
              <a:gd name="connsiteX26" fmla="*/ 538147 w 799805"/>
              <a:gd name="connsiteY26" fmla="*/ 528487 h 822323"/>
              <a:gd name="connsiteX27" fmla="*/ 551291 w 799805"/>
              <a:gd name="connsiteY27" fmla="*/ 505412 h 822323"/>
              <a:gd name="connsiteX28" fmla="*/ 563267 w 799805"/>
              <a:gd name="connsiteY28" fmla="*/ 435192 h 822323"/>
              <a:gd name="connsiteX29" fmla="*/ 470188 w 799805"/>
              <a:gd name="connsiteY29" fmla="*/ 268970 h 822323"/>
              <a:gd name="connsiteX30" fmla="*/ 420393 w 799805"/>
              <a:gd name="connsiteY30" fmla="*/ 257070 h 822323"/>
              <a:gd name="connsiteX31" fmla="*/ 372978 w 799805"/>
              <a:gd name="connsiteY31" fmla="*/ 244024 h 822323"/>
              <a:gd name="connsiteX32" fmla="*/ 291876 w 799805"/>
              <a:gd name="connsiteY32" fmla="*/ 154981 h 822323"/>
              <a:gd name="connsiteX33" fmla="*/ 281664 w 799805"/>
              <a:gd name="connsiteY33" fmla="*/ 99452 h 822323"/>
              <a:gd name="connsiteX34" fmla="*/ 275636 w 799805"/>
              <a:gd name="connsiteY34"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75115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0824 w 799805"/>
              <a:gd name="connsiteY13" fmla="*/ 473870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Lst>
            <a:rect l="l" t="t" r="r" b="b"/>
            <a:pathLst>
              <a:path w="799805" h="822323">
                <a:moveTo>
                  <a:pt x="4863" y="390526"/>
                </a:moveTo>
                <a:cubicBezTo>
                  <a:pt x="24707" y="382985"/>
                  <a:pt x="78482" y="428720"/>
                  <a:pt x="101303" y="454820"/>
                </a:cubicBezTo>
                <a:cubicBezTo>
                  <a:pt x="124124" y="480920"/>
                  <a:pt x="130972" y="525998"/>
                  <a:pt x="141790" y="547127"/>
                </a:cubicBezTo>
                <a:lnTo>
                  <a:pt x="166213" y="581597"/>
                </a:lnTo>
                <a:cubicBezTo>
                  <a:pt x="175823" y="595258"/>
                  <a:pt x="188185" y="607675"/>
                  <a:pt x="203067" y="617947"/>
                </a:cubicBezTo>
                <a:cubicBezTo>
                  <a:pt x="217950" y="628218"/>
                  <a:pt x="233945" y="635371"/>
                  <a:pt x="250126" y="639512"/>
                </a:cubicBezTo>
                <a:lnTo>
                  <a:pt x="288681" y="667974"/>
                </a:lnTo>
                <a:cubicBezTo>
                  <a:pt x="292170" y="677840"/>
                  <a:pt x="299423" y="686374"/>
                  <a:pt x="309612" y="691239"/>
                </a:cubicBezTo>
                <a:lnTo>
                  <a:pt x="538213" y="800387"/>
                </a:lnTo>
                <a:lnTo>
                  <a:pt x="493055" y="814478"/>
                </a:lnTo>
                <a:cubicBezTo>
                  <a:pt x="468046" y="819622"/>
                  <a:pt x="442152" y="822323"/>
                  <a:pt x="415630" y="822323"/>
                </a:cubicBezTo>
                <a:cubicBezTo>
                  <a:pt x="296283" y="822323"/>
                  <a:pt x="189646" y="767619"/>
                  <a:pt x="119183" y="681797"/>
                </a:cubicBezTo>
                <a:lnTo>
                  <a:pt x="84640" y="608789"/>
                </a:lnTo>
                <a:cubicBezTo>
                  <a:pt x="77495" y="575722"/>
                  <a:pt x="72759" y="508688"/>
                  <a:pt x="60824" y="473870"/>
                </a:cubicBezTo>
                <a:cubicBezTo>
                  <a:pt x="48889" y="439052"/>
                  <a:pt x="42516" y="417956"/>
                  <a:pt x="13030" y="399882"/>
                </a:cubicBezTo>
                <a:lnTo>
                  <a:pt x="0" y="396069"/>
                </a:lnTo>
                <a:lnTo>
                  <a:pt x="4863" y="390526"/>
                </a:lnTo>
                <a:close/>
                <a:moveTo>
                  <a:pt x="275636" y="0"/>
                </a:moveTo>
                <a:lnTo>
                  <a:pt x="489448" y="0"/>
                </a:lnTo>
                <a:lnTo>
                  <a:pt x="489448" y="57483"/>
                </a:lnTo>
                <a:lnTo>
                  <a:pt x="493055" y="57848"/>
                </a:lnTo>
                <a:cubicBezTo>
                  <a:pt x="668117" y="93857"/>
                  <a:pt x="799805" y="249552"/>
                  <a:pt x="799805" y="436163"/>
                </a:cubicBezTo>
                <a:cubicBezTo>
                  <a:pt x="799805" y="489481"/>
                  <a:pt x="789055" y="540274"/>
                  <a:pt x="769615" y="586474"/>
                </a:cubicBezTo>
                <a:lnTo>
                  <a:pt x="746479" y="629318"/>
                </a:lnTo>
                <a:lnTo>
                  <a:pt x="744333" y="626933"/>
                </a:lnTo>
                <a:lnTo>
                  <a:pt x="538147" y="528487"/>
                </a:lnTo>
                <a:lnTo>
                  <a:pt x="551291" y="505412"/>
                </a:lnTo>
                <a:cubicBezTo>
                  <a:pt x="559003" y="483829"/>
                  <a:pt x="563267" y="460100"/>
                  <a:pt x="563267" y="435192"/>
                </a:cubicBezTo>
                <a:cubicBezTo>
                  <a:pt x="563267" y="360468"/>
                  <a:pt x="524887" y="296356"/>
                  <a:pt x="470188" y="268970"/>
                </a:cubicBezTo>
                <a:lnTo>
                  <a:pt x="420393" y="257070"/>
                </a:lnTo>
                <a:lnTo>
                  <a:pt x="372978" y="244024"/>
                </a:lnTo>
                <a:cubicBezTo>
                  <a:pt x="336513" y="227090"/>
                  <a:pt x="307299" y="195017"/>
                  <a:pt x="291876" y="154981"/>
                </a:cubicBezTo>
                <a:lnTo>
                  <a:pt x="281664" y="99452"/>
                </a:lnTo>
                <a:lnTo>
                  <a:pt x="275636" y="0"/>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1" name="Полилиния 170">
            <a:extLst>
              <a:ext uri="{FF2B5EF4-FFF2-40B4-BE49-F238E27FC236}">
                <a16:creationId xmlns:a16="http://schemas.microsoft.com/office/drawing/2014/main" id="{C32B9BFB-739C-43E1-994B-9BE8C67A75BC}"/>
              </a:ext>
            </a:extLst>
          </xdr:cNvPr>
          <xdr:cNvSpPr/>
        </xdr:nvSpPr>
        <xdr:spPr bwMode="auto">
          <a:xfrm flipH="1">
            <a:off x="5290648" y="652464"/>
            <a:ext cx="810201" cy="1013184"/>
          </a:xfrm>
          <a:custGeom>
            <a:avLst/>
            <a:gdLst>
              <a:gd name="connsiteX0" fmla="*/ 171535 w 810205"/>
              <a:gd name="connsiteY0" fmla="*/ 207172 h 1013180"/>
              <a:gd name="connsiteX1" fmla="*/ 700173 w 810205"/>
              <a:gd name="connsiteY1" fmla="*/ 514353 h 1013180"/>
              <a:gd name="connsiteX2" fmla="*/ 645404 w 810205"/>
              <a:gd name="connsiteY2" fmla="*/ 689945 h 1013180"/>
              <a:gd name="connsiteX3" fmla="*/ 550243 w 810205"/>
              <a:gd name="connsiteY3" fmla="*/ 635750 h 1013180"/>
              <a:gd name="connsiteX4" fmla="*/ 541515 w 810205"/>
              <a:gd name="connsiteY4" fmla="*/ 678979 h 1013180"/>
              <a:gd name="connsiteX5" fmla="*/ 464104 w 810205"/>
              <a:gd name="connsiteY5" fmla="*/ 756390 h 1013180"/>
              <a:gd name="connsiteX6" fmla="*/ 446248 w 810205"/>
              <a:gd name="connsiteY6" fmla="*/ 759995 h 1013180"/>
              <a:gd name="connsiteX7" fmla="*/ 550154 w 810205"/>
              <a:gd name="connsiteY7" fmla="*/ 819644 h 1013180"/>
              <a:gd name="connsiteX8" fmla="*/ 210334 w 810205"/>
              <a:gd name="connsiteY8" fmla="*/ 819644 h 1013180"/>
              <a:gd name="connsiteX9" fmla="*/ 139500 w 810205"/>
              <a:gd name="connsiteY9" fmla="*/ 583902 h 1013180"/>
              <a:gd name="connsiteX10" fmla="*/ 269302 w 810205"/>
              <a:gd name="connsiteY10" fmla="*/ 658417 h 1013180"/>
              <a:gd name="connsiteX11" fmla="*/ 262022 w 810205"/>
              <a:gd name="connsiteY11" fmla="*/ 622359 h 1013180"/>
              <a:gd name="connsiteX12" fmla="*/ 304627 w 810205"/>
              <a:gd name="connsiteY12" fmla="*/ 519502 h 1013180"/>
              <a:gd name="connsiteX13" fmla="*/ 323628 w 810205"/>
              <a:gd name="connsiteY13" fmla="*/ 506692 h 1013180"/>
              <a:gd name="connsiteX14" fmla="*/ 114385 w 810205"/>
              <a:gd name="connsiteY14" fmla="*/ 387527 h 1013180"/>
              <a:gd name="connsiteX15" fmla="*/ 596002 w 810205"/>
              <a:gd name="connsiteY15" fmla="*/ 85728 h 1013180"/>
              <a:gd name="connsiteX16" fmla="*/ 666836 w 810205"/>
              <a:gd name="connsiteY16" fmla="*/ 321470 h 1013180"/>
              <a:gd name="connsiteX17" fmla="*/ 256182 w 810205"/>
              <a:gd name="connsiteY17" fmla="*/ 85728 h 1013180"/>
              <a:gd name="connsiteX18" fmla="*/ 635245 w 810205"/>
              <a:gd name="connsiteY18" fmla="*/ 0 h 1013180"/>
              <a:gd name="connsiteX19" fmla="*/ 348158 w 810205"/>
              <a:gd name="connsiteY19" fmla="*/ 0 h 1013180"/>
              <a:gd name="connsiteX20" fmla="*/ 348158 w 810205"/>
              <a:gd name="connsiteY20" fmla="*/ 1 h 1013180"/>
              <a:gd name="connsiteX21" fmla="*/ 174960 w 810205"/>
              <a:gd name="connsiteY21" fmla="*/ 1 h 1013180"/>
              <a:gd name="connsiteX22" fmla="*/ 121340 w 810205"/>
              <a:gd name="connsiteY22" fmla="*/ 35543 h 1013180"/>
              <a:gd name="connsiteX23" fmla="*/ 12389 w 810205"/>
              <a:gd name="connsiteY23" fmla="*/ 397314 h 1013180"/>
              <a:gd name="connsiteX24" fmla="*/ 3097 w 810205"/>
              <a:gd name="connsiteY24" fmla="*/ 493302 h 1013180"/>
              <a:gd name="connsiteX25" fmla="*/ 5385 w 810205"/>
              <a:gd name="connsiteY25" fmla="*/ 499826 h 1013180"/>
              <a:gd name="connsiteX26" fmla="*/ 4762 w 810205"/>
              <a:gd name="connsiteY26" fmla="*/ 500028 h 1013180"/>
              <a:gd name="connsiteX27" fmla="*/ 149024 w 810205"/>
              <a:gd name="connsiteY27" fmla="*/ 950004 h 1013180"/>
              <a:gd name="connsiteX28" fmla="*/ 244335 w 810205"/>
              <a:gd name="connsiteY28" fmla="*/ 1013180 h 1013180"/>
              <a:gd name="connsiteX29" fmla="*/ 462047 w 810205"/>
              <a:gd name="connsiteY29" fmla="*/ 1013180 h 1013180"/>
              <a:gd name="connsiteX30" fmla="*/ 462047 w 810205"/>
              <a:gd name="connsiteY30" fmla="*/ 1013179 h 1013180"/>
              <a:gd name="connsiteX31" fmla="*/ 565870 w 810205"/>
              <a:gd name="connsiteY31" fmla="*/ 1013179 h 1013180"/>
              <a:gd name="connsiteX32" fmla="*/ 661181 w 810205"/>
              <a:gd name="connsiteY32" fmla="*/ 950003 h 1013180"/>
              <a:gd name="connsiteX33" fmla="*/ 805443 w 810205"/>
              <a:gd name="connsiteY33" fmla="*/ 500027 h 1013180"/>
              <a:gd name="connsiteX34" fmla="*/ 804820 w 810205"/>
              <a:gd name="connsiteY34" fmla="*/ 499825 h 1013180"/>
              <a:gd name="connsiteX35" fmla="*/ 807108 w 810205"/>
              <a:gd name="connsiteY35" fmla="*/ 493301 h 1013180"/>
              <a:gd name="connsiteX36" fmla="*/ 797816 w 810205"/>
              <a:gd name="connsiteY36" fmla="*/ 397313 h 1013180"/>
              <a:gd name="connsiteX37" fmla="*/ 688865 w 810205"/>
              <a:gd name="connsiteY37" fmla="*/ 35542 h 1013180"/>
              <a:gd name="connsiteX38" fmla="*/ 635245 w 810205"/>
              <a:gd name="connsiteY38" fmla="*/ 0 h 10131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810205" h="1013180">
                <a:moveTo>
                  <a:pt x="171535" y="207172"/>
                </a:moveTo>
                <a:lnTo>
                  <a:pt x="700173" y="514353"/>
                </a:lnTo>
                <a:lnTo>
                  <a:pt x="645404" y="689945"/>
                </a:lnTo>
                <a:lnTo>
                  <a:pt x="550243" y="635750"/>
                </a:lnTo>
                <a:lnTo>
                  <a:pt x="541515" y="678979"/>
                </a:lnTo>
                <a:cubicBezTo>
                  <a:pt x="526793" y="713785"/>
                  <a:pt x="498910" y="741668"/>
                  <a:pt x="464104" y="756390"/>
                </a:cubicBezTo>
                <a:lnTo>
                  <a:pt x="446248" y="759995"/>
                </a:lnTo>
                <a:lnTo>
                  <a:pt x="550154" y="819644"/>
                </a:lnTo>
                <a:lnTo>
                  <a:pt x="210334" y="819644"/>
                </a:lnTo>
                <a:lnTo>
                  <a:pt x="139500" y="583902"/>
                </a:lnTo>
                <a:lnTo>
                  <a:pt x="269302" y="658417"/>
                </a:lnTo>
                <a:lnTo>
                  <a:pt x="262022" y="622359"/>
                </a:lnTo>
                <a:cubicBezTo>
                  <a:pt x="262022" y="582191"/>
                  <a:pt x="278304" y="545826"/>
                  <a:pt x="304627" y="519502"/>
                </a:cubicBezTo>
                <a:lnTo>
                  <a:pt x="323628" y="506692"/>
                </a:lnTo>
                <a:lnTo>
                  <a:pt x="114385" y="387527"/>
                </a:lnTo>
                <a:close/>
                <a:moveTo>
                  <a:pt x="596002" y="85728"/>
                </a:moveTo>
                <a:lnTo>
                  <a:pt x="666836" y="321470"/>
                </a:lnTo>
                <a:lnTo>
                  <a:pt x="256182" y="85728"/>
                </a:lnTo>
                <a:close/>
                <a:moveTo>
                  <a:pt x="635245" y="0"/>
                </a:moveTo>
                <a:lnTo>
                  <a:pt x="348158" y="0"/>
                </a:lnTo>
                <a:lnTo>
                  <a:pt x="348158" y="1"/>
                </a:lnTo>
                <a:lnTo>
                  <a:pt x="174960" y="1"/>
                </a:lnTo>
                <a:cubicBezTo>
                  <a:pt x="150855" y="1"/>
                  <a:pt x="130174" y="14656"/>
                  <a:pt x="121340" y="35543"/>
                </a:cubicBezTo>
                <a:lnTo>
                  <a:pt x="12389" y="397314"/>
                </a:lnTo>
                <a:cubicBezTo>
                  <a:pt x="-1" y="427867"/>
                  <a:pt x="-3098" y="461306"/>
                  <a:pt x="3097" y="493302"/>
                </a:cubicBezTo>
                <a:lnTo>
                  <a:pt x="5385" y="499826"/>
                </a:lnTo>
                <a:lnTo>
                  <a:pt x="4762" y="500028"/>
                </a:lnTo>
                <a:lnTo>
                  <a:pt x="149024" y="950004"/>
                </a:lnTo>
                <a:cubicBezTo>
                  <a:pt x="164727" y="987130"/>
                  <a:pt x="201489" y="1013180"/>
                  <a:pt x="244335" y="1013180"/>
                </a:cubicBezTo>
                <a:lnTo>
                  <a:pt x="462047" y="1013180"/>
                </a:lnTo>
                <a:lnTo>
                  <a:pt x="462047" y="1013179"/>
                </a:lnTo>
                <a:lnTo>
                  <a:pt x="565870" y="1013179"/>
                </a:lnTo>
                <a:cubicBezTo>
                  <a:pt x="608716" y="1013179"/>
                  <a:pt x="645478" y="987129"/>
                  <a:pt x="661181" y="950003"/>
                </a:cubicBezTo>
                <a:lnTo>
                  <a:pt x="805443" y="500027"/>
                </a:lnTo>
                <a:lnTo>
                  <a:pt x="804820" y="499825"/>
                </a:lnTo>
                <a:lnTo>
                  <a:pt x="807108" y="493301"/>
                </a:lnTo>
                <a:cubicBezTo>
                  <a:pt x="813303" y="461305"/>
                  <a:pt x="810206" y="427866"/>
                  <a:pt x="797816" y="397313"/>
                </a:cubicBezTo>
                <a:lnTo>
                  <a:pt x="688865" y="35542"/>
                </a:lnTo>
                <a:cubicBezTo>
                  <a:pt x="680031" y="14655"/>
                  <a:pt x="659350" y="0"/>
                  <a:pt x="635245"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2" name="Овал 171">
            <a:extLst>
              <a:ext uri="{FF2B5EF4-FFF2-40B4-BE49-F238E27FC236}">
                <a16:creationId xmlns:a16="http://schemas.microsoft.com/office/drawing/2014/main" id="{0CB53615-7565-4770-9CD2-4CA624BA24BB}"/>
              </a:ext>
            </a:extLst>
          </xdr:cNvPr>
          <xdr:cNvSpPr/>
        </xdr:nvSpPr>
        <xdr:spPr bwMode="auto">
          <a:xfrm>
            <a:off x="5599683" y="1181149"/>
            <a:ext cx="187347" cy="187346"/>
          </a:xfrm>
          <a:prstGeom prst="ellipse">
            <a:avLst/>
          </a:pr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3" name="Полилиния 172">
            <a:extLst>
              <a:ext uri="{FF2B5EF4-FFF2-40B4-BE49-F238E27FC236}">
                <a16:creationId xmlns:a16="http://schemas.microsoft.com/office/drawing/2014/main" id="{92B110AC-EB74-4C3E-8163-1EA064553AF5}"/>
              </a:ext>
            </a:extLst>
          </xdr:cNvPr>
          <xdr:cNvSpPr/>
        </xdr:nvSpPr>
        <xdr:spPr bwMode="auto">
          <a:xfrm>
            <a:off x="5288256" y="203674"/>
            <a:ext cx="105273" cy="708448"/>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4" name="Полилиния 173">
            <a:extLst>
              <a:ext uri="{FF2B5EF4-FFF2-40B4-BE49-F238E27FC236}">
                <a16:creationId xmlns:a16="http://schemas.microsoft.com/office/drawing/2014/main" id="{FE509BA8-6F63-493B-9BCC-898CE8DBA0AF}"/>
              </a:ext>
            </a:extLst>
          </xdr:cNvPr>
          <xdr:cNvSpPr/>
        </xdr:nvSpPr>
        <xdr:spPr bwMode="auto">
          <a:xfrm flipH="1">
            <a:off x="5995576" y="203674"/>
            <a:ext cx="105273" cy="708448"/>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5" name="Полилиния 174">
            <a:extLst>
              <a:ext uri="{FF2B5EF4-FFF2-40B4-BE49-F238E27FC236}">
                <a16:creationId xmlns:a16="http://schemas.microsoft.com/office/drawing/2014/main" id="{26DE3450-53CD-4799-AA89-0F0672A2E1D2}"/>
              </a:ext>
            </a:extLst>
          </xdr:cNvPr>
          <xdr:cNvSpPr/>
        </xdr:nvSpPr>
        <xdr:spPr bwMode="auto">
          <a:xfrm flipH="1">
            <a:off x="7717037" y="3228336"/>
            <a:ext cx="468051" cy="555753"/>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6" name="Скругленный прямоугольник 175">
            <a:extLst>
              <a:ext uri="{FF2B5EF4-FFF2-40B4-BE49-F238E27FC236}">
                <a16:creationId xmlns:a16="http://schemas.microsoft.com/office/drawing/2014/main" id="{8C49756F-49A1-4659-91EC-DBCAADC5761F}"/>
              </a:ext>
            </a:extLst>
          </xdr:cNvPr>
          <xdr:cNvSpPr/>
        </xdr:nvSpPr>
        <xdr:spPr bwMode="auto">
          <a:xfrm rot="1632461">
            <a:off x="5463818" y="2799425"/>
            <a:ext cx="2691976" cy="146470"/>
          </a:xfrm>
          <a:prstGeom prst="roundRect">
            <a:avLst>
              <a:gd name="adj" fmla="val 50000"/>
            </a:avLst>
          </a:pr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sp macro="" textlink="">
        <xdr:nvSpPr>
          <xdr:cNvPr id="177" name="Полилиния 176">
            <a:extLst>
              <a:ext uri="{FF2B5EF4-FFF2-40B4-BE49-F238E27FC236}">
                <a16:creationId xmlns:a16="http://schemas.microsoft.com/office/drawing/2014/main" id="{36355E27-10C7-4BD7-9772-89666B628266}"/>
              </a:ext>
            </a:extLst>
          </xdr:cNvPr>
          <xdr:cNvSpPr/>
        </xdr:nvSpPr>
        <xdr:spPr bwMode="auto">
          <a:xfrm rot="19967539" flipH="1">
            <a:off x="3254927" y="2881153"/>
            <a:ext cx="2334447" cy="146470"/>
          </a:xfrm>
          <a:custGeom>
            <a:avLst/>
            <a:gdLst>
              <a:gd name="connsiteX0" fmla="*/ 31382 w 2334449"/>
              <a:gd name="connsiteY0" fmla="*/ 0 h 146470"/>
              <a:gd name="connsiteX1" fmla="*/ 40778 w 2334449"/>
              <a:gd name="connsiteY1" fmla="*/ 40581 h 146470"/>
              <a:gd name="connsiteX2" fmla="*/ 24740 w 2334449"/>
              <a:gd name="connsiteY2" fmla="*/ 110427 h 146470"/>
              <a:gd name="connsiteX3" fmla="*/ 0 w 2334449"/>
              <a:gd name="connsiteY3" fmla="*/ 146470 h 146470"/>
              <a:gd name="connsiteX4" fmla="*/ 2261214 w 2334449"/>
              <a:gd name="connsiteY4" fmla="*/ 146470 h 146470"/>
              <a:gd name="connsiteX5" fmla="*/ 2334449 w 2334449"/>
              <a:gd name="connsiteY5" fmla="*/ 73235 h 146470"/>
              <a:gd name="connsiteX6" fmla="*/ 2261214 w 2334449"/>
              <a:gd name="connsiteY6" fmla="*/ 0 h 146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334449" h="146470">
                <a:moveTo>
                  <a:pt x="31382" y="0"/>
                </a:moveTo>
                <a:lnTo>
                  <a:pt x="40778" y="40581"/>
                </a:lnTo>
                <a:cubicBezTo>
                  <a:pt x="40505" y="63907"/>
                  <a:pt x="34956" y="87639"/>
                  <a:pt x="24740" y="110427"/>
                </a:cubicBezTo>
                <a:lnTo>
                  <a:pt x="0" y="146470"/>
                </a:lnTo>
                <a:lnTo>
                  <a:pt x="2261214" y="146470"/>
                </a:lnTo>
                <a:cubicBezTo>
                  <a:pt x="2301661" y="146470"/>
                  <a:pt x="2334449" y="113682"/>
                  <a:pt x="2334449" y="73235"/>
                </a:cubicBezTo>
                <a:cubicBezTo>
                  <a:pt x="2334449" y="32788"/>
                  <a:pt x="2301661" y="0"/>
                  <a:pt x="2261214" y="0"/>
                </a:cubicBezTo>
                <a:close/>
              </a:path>
            </a:pathLst>
          </a:custGeom>
          <a:grpFill/>
          <a:ln>
            <a:noFill/>
          </a:ln>
        </xdr:spPr>
        <xdr:txBody>
          <a:bodyPr wrap="square" lIns="0" tIns="0" rIns="0" bIns="0"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702945</xdr:colOff>
      <xdr:row>0</xdr:row>
      <xdr:rowOff>664970</xdr:rowOff>
    </xdr:from>
    <xdr:to>
      <xdr:col>12</xdr:col>
      <xdr:colOff>9525</xdr:colOff>
      <xdr:row>20</xdr:row>
      <xdr:rowOff>0</xdr:rowOff>
    </xdr:to>
    <xdr:graphicFrame macro="">
      <xdr:nvGraphicFramePr>
        <xdr:cNvPr id="7" name="Диаграмма 4">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13608</xdr:colOff>
      <xdr:row>0</xdr:row>
      <xdr:rowOff>108857</xdr:rowOff>
    </xdr:from>
    <xdr:to>
      <xdr:col>1</xdr:col>
      <xdr:colOff>4150829</xdr:colOff>
      <xdr:row>0</xdr:row>
      <xdr:rowOff>627017</xdr:rowOff>
    </xdr:to>
    <xdr:pic>
      <xdr:nvPicPr>
        <xdr:cNvPr id="2" name="Рисунок 1">
          <a:extLst>
            <a:ext uri="{FF2B5EF4-FFF2-40B4-BE49-F238E27FC236}">
              <a16:creationId xmlns:a16="http://schemas.microsoft.com/office/drawing/2014/main" id="{F2468FD3-08A1-4CE2-A1D0-EA51DFC22FA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625929" y="108857"/>
          <a:ext cx="4137221" cy="51435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1"/>
  <sheetViews>
    <sheetView tabSelected="1" zoomScale="85" zoomScaleNormal="85" workbookViewId="0">
      <selection activeCell="S78" sqref="S78"/>
    </sheetView>
  </sheetViews>
  <sheetFormatPr defaultRowHeight="15" x14ac:dyDescent="0.25"/>
  <sheetData>
    <row r="11" spans="1:1" ht="40.5" x14ac:dyDescent="0.7">
      <c r="A11" s="5" t="s">
        <v>3</v>
      </c>
    </row>
  </sheetData>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3:F23"/>
  <sheetViews>
    <sheetView workbookViewId="0">
      <pane ySplit="1" topLeftCell="A2" activePane="bottomLeft" state="frozen"/>
      <selection pane="bottomLeft" activeCell="D35" sqref="D35"/>
    </sheetView>
  </sheetViews>
  <sheetFormatPr defaultRowHeight="15" x14ac:dyDescent="0.25"/>
  <cols>
    <col min="1" max="1" width="6.28515625" customWidth="1"/>
    <col min="2" max="6" width="33.5703125" style="1" customWidth="1"/>
  </cols>
  <sheetData>
    <row r="23" spans="2:2" x14ac:dyDescent="0.25">
      <c r="B23"/>
    </row>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V23"/>
  <sheetViews>
    <sheetView zoomScale="85" zoomScaleNormal="85" workbookViewId="0">
      <selection activeCell="D5" sqref="D5"/>
    </sheetView>
  </sheetViews>
  <sheetFormatPr defaultRowHeight="15" x14ac:dyDescent="0.25"/>
  <cols>
    <col min="1" max="1" width="1.5703125" customWidth="1"/>
    <col min="2" max="2" width="79.7109375" customWidth="1"/>
    <col min="3" max="3" width="41.7109375" bestFit="1" customWidth="1"/>
    <col min="4" max="7" width="9.28515625" customWidth="1"/>
    <col min="8" max="8" width="10.28515625" bestFit="1" customWidth="1"/>
    <col min="9" max="9" width="31.28515625" bestFit="1" customWidth="1"/>
    <col min="10" max="10" width="38.28515625" customWidth="1"/>
    <col min="11" max="11" width="44.42578125" customWidth="1"/>
    <col min="12" max="12" width="13" customWidth="1"/>
    <col min="21" max="21" width="15.28515625" customWidth="1"/>
    <col min="22" max="22" width="28" customWidth="1"/>
  </cols>
  <sheetData>
    <row r="1" spans="2:22" ht="53.45" customHeight="1" thickBot="1" x14ac:dyDescent="0.3">
      <c r="C1" s="99"/>
      <c r="D1" s="99"/>
      <c r="E1" s="99"/>
      <c r="F1" s="99"/>
      <c r="G1" s="99"/>
    </row>
    <row r="2" spans="2:22" ht="39" customHeight="1" thickBot="1" x14ac:dyDescent="0.3">
      <c r="B2" s="103" t="s">
        <v>33</v>
      </c>
      <c r="C2" s="103" t="s">
        <v>537</v>
      </c>
      <c r="D2" s="100" t="s">
        <v>538</v>
      </c>
      <c r="E2" s="101"/>
      <c r="F2" s="101"/>
      <c r="G2" s="102"/>
    </row>
    <row r="3" spans="2:22" ht="15" customHeight="1" thickBot="1" x14ac:dyDescent="0.3">
      <c r="B3" s="104"/>
      <c r="C3" s="104"/>
      <c r="D3" s="81">
        <v>1</v>
      </c>
      <c r="E3" s="81">
        <v>2</v>
      </c>
      <c r="F3" s="81">
        <v>3</v>
      </c>
      <c r="G3" s="81">
        <v>4</v>
      </c>
    </row>
    <row r="4" spans="2:22" ht="15.6" customHeight="1" x14ac:dyDescent="0.25">
      <c r="B4" s="27" t="s">
        <v>539</v>
      </c>
      <c r="C4" s="26">
        <f>(Практики!J14/Практики!H14)*100</f>
        <v>0</v>
      </c>
      <c r="D4" s="30">
        <f>Практики!E3</f>
        <v>0</v>
      </c>
      <c r="E4" s="30">
        <f>Практики!E7</f>
        <v>0</v>
      </c>
      <c r="F4" s="30">
        <f>Практики!E11</f>
        <v>0</v>
      </c>
      <c r="G4" s="31">
        <f>Практики!E13</f>
        <v>0</v>
      </c>
    </row>
    <row r="5" spans="2:22" ht="15.6" customHeight="1" x14ac:dyDescent="0.25">
      <c r="B5" s="27" t="s">
        <v>540</v>
      </c>
      <c r="C5" s="26">
        <f>(Практики!J47/Практики!H47)*100</f>
        <v>0</v>
      </c>
      <c r="D5" s="30">
        <f>Практики!E16</f>
        <v>0</v>
      </c>
      <c r="E5" s="30">
        <f>Практики!E23</f>
        <v>0</v>
      </c>
      <c r="F5" s="30">
        <f>Практики!E36</f>
        <v>0</v>
      </c>
      <c r="G5" s="31">
        <f>Практики!E43</f>
        <v>0</v>
      </c>
    </row>
    <row r="6" spans="2:22" ht="15.6" customHeight="1" x14ac:dyDescent="0.25">
      <c r="B6" s="27" t="s">
        <v>541</v>
      </c>
      <c r="C6" s="26">
        <f>(Практики!J83/Практики!H83)*100</f>
        <v>0</v>
      </c>
      <c r="D6" s="30">
        <f>Практики!E49</f>
        <v>0</v>
      </c>
      <c r="E6" s="30">
        <f>Практики!E60</f>
        <v>0</v>
      </c>
      <c r="F6" s="30">
        <f>Практики!E73</f>
        <v>0</v>
      </c>
      <c r="G6" s="31">
        <f>Практики!E80</f>
        <v>0</v>
      </c>
    </row>
    <row r="7" spans="2:22" ht="15.6" customHeight="1" x14ac:dyDescent="0.25">
      <c r="B7" s="27" t="s">
        <v>542</v>
      </c>
      <c r="C7" s="26">
        <f>(Практики!J158/Практики!H158)*100</f>
        <v>0</v>
      </c>
      <c r="D7" s="30">
        <f>Практики!E140</f>
        <v>0</v>
      </c>
      <c r="E7" s="30">
        <f>Практики!E144</f>
        <v>0</v>
      </c>
      <c r="F7" s="30">
        <f>Практики!E152</f>
        <v>0</v>
      </c>
      <c r="G7" s="31">
        <f>Практики!E156</f>
        <v>0</v>
      </c>
    </row>
    <row r="8" spans="2:22" ht="15.6" customHeight="1" x14ac:dyDescent="0.25">
      <c r="B8" s="27" t="s">
        <v>262</v>
      </c>
      <c r="C8" s="26">
        <f>(Практики!J122/Практики!H122)*100</f>
        <v>0</v>
      </c>
      <c r="D8" s="30">
        <f>Практики!E85</f>
        <v>0</v>
      </c>
      <c r="E8" s="30">
        <f>Практики!E92</f>
        <v>0</v>
      </c>
      <c r="F8" s="30">
        <f>Практики!E106</f>
        <v>0</v>
      </c>
      <c r="G8" s="31">
        <f>Практики!E115</f>
        <v>0</v>
      </c>
    </row>
    <row r="9" spans="2:22" ht="15.6" customHeight="1" x14ac:dyDescent="0.25">
      <c r="B9" s="27" t="s">
        <v>543</v>
      </c>
      <c r="C9" s="26">
        <f>(Практики!J138/Практики!H138)*100</f>
        <v>0</v>
      </c>
      <c r="D9" s="30">
        <f>Практики!E124</f>
        <v>0</v>
      </c>
      <c r="E9" s="30">
        <f>Практики!E129</f>
        <v>0</v>
      </c>
      <c r="F9" s="30">
        <f>Практики!E132</f>
        <v>0</v>
      </c>
      <c r="G9" s="31">
        <f>Практики!E136</f>
        <v>0</v>
      </c>
    </row>
    <row r="10" spans="2:22" ht="16.149999999999999" customHeight="1" thickBot="1" x14ac:dyDescent="0.3">
      <c r="B10" s="28" t="s">
        <v>544</v>
      </c>
      <c r="C10" s="29">
        <f>(Практики!J172/Практики!H172)*100</f>
        <v>0</v>
      </c>
      <c r="D10" s="32">
        <f>Практики!E160</f>
        <v>0</v>
      </c>
      <c r="E10" s="32">
        <f>Практики!E162</f>
        <v>0</v>
      </c>
      <c r="F10" s="32">
        <f>Практики!E165</f>
        <v>0</v>
      </c>
      <c r="G10" s="33">
        <f>Практики!E171</f>
        <v>0</v>
      </c>
    </row>
    <row r="12" spans="2:22" ht="15.75" thickBot="1" x14ac:dyDescent="0.3"/>
    <row r="13" spans="2:22" ht="38.450000000000003" customHeight="1" x14ac:dyDescent="0.25">
      <c r="B13" s="81" t="s">
        <v>33</v>
      </c>
      <c r="C13" s="81" t="s">
        <v>545</v>
      </c>
      <c r="D13" s="105" t="s">
        <v>546</v>
      </c>
      <c r="E13" s="106"/>
      <c r="F13" s="106"/>
      <c r="G13" s="107"/>
    </row>
    <row r="14" spans="2:22" ht="15.6" customHeight="1" x14ac:dyDescent="0.25">
      <c r="B14" s="27" t="s">
        <v>539</v>
      </c>
      <c r="C14" s="34">
        <f>(Практики!J14/Практики!H14)*4</f>
        <v>0</v>
      </c>
      <c r="D14" s="95">
        <f>AVERAGE(C14:C20)</f>
        <v>0</v>
      </c>
      <c r="E14" s="95"/>
      <c r="F14" s="95"/>
      <c r="G14" s="96"/>
      <c r="V14" s="22"/>
    </row>
    <row r="15" spans="2:22" ht="15.6" customHeight="1" x14ac:dyDescent="0.25">
      <c r="B15" s="27" t="s">
        <v>540</v>
      </c>
      <c r="C15" s="34">
        <f>(Практики!J47/Практики!H47)*4</f>
        <v>0</v>
      </c>
      <c r="D15" s="95"/>
      <c r="E15" s="95"/>
      <c r="F15" s="95"/>
      <c r="G15" s="96"/>
      <c r="V15" s="22"/>
    </row>
    <row r="16" spans="2:22" ht="15.6" customHeight="1" x14ac:dyDescent="0.25">
      <c r="B16" s="27" t="s">
        <v>541</v>
      </c>
      <c r="C16" s="34">
        <f>(Практики!J83/Практики!H83)*4</f>
        <v>0</v>
      </c>
      <c r="D16" s="95"/>
      <c r="E16" s="95"/>
      <c r="F16" s="95"/>
      <c r="G16" s="96"/>
      <c r="V16" s="22"/>
    </row>
    <row r="17" spans="2:22" ht="15.6" customHeight="1" x14ac:dyDescent="0.25">
      <c r="B17" s="27" t="s">
        <v>542</v>
      </c>
      <c r="C17" s="34">
        <f>(Практики!J158/Практики!H158)*4</f>
        <v>0</v>
      </c>
      <c r="D17" s="95"/>
      <c r="E17" s="95"/>
      <c r="F17" s="95"/>
      <c r="G17" s="96"/>
      <c r="V17" s="22"/>
    </row>
    <row r="18" spans="2:22" ht="15.6" customHeight="1" x14ac:dyDescent="0.25">
      <c r="B18" s="27" t="s">
        <v>262</v>
      </c>
      <c r="C18" s="34">
        <f>(Практики!J122/Практики!H122)*4</f>
        <v>0</v>
      </c>
      <c r="D18" s="95"/>
      <c r="E18" s="95"/>
      <c r="F18" s="95"/>
      <c r="G18" s="96"/>
      <c r="V18" s="22"/>
    </row>
    <row r="19" spans="2:22" ht="15.6" customHeight="1" x14ac:dyDescent="0.25">
      <c r="B19" s="27" t="s">
        <v>543</v>
      </c>
      <c r="C19" s="34">
        <f>(Практики!J138/Практики!H138)*4</f>
        <v>0</v>
      </c>
      <c r="D19" s="95"/>
      <c r="E19" s="95"/>
      <c r="F19" s="95"/>
      <c r="G19" s="96"/>
      <c r="V19" s="22"/>
    </row>
    <row r="20" spans="2:22" ht="16.149999999999999" customHeight="1" thickBot="1" x14ac:dyDescent="0.3">
      <c r="B20" s="28" t="s">
        <v>544</v>
      </c>
      <c r="C20" s="35">
        <f>(Практики!J172/Практики!H172)*4</f>
        <v>0</v>
      </c>
      <c r="D20" s="97"/>
      <c r="E20" s="97"/>
      <c r="F20" s="97"/>
      <c r="G20" s="98"/>
      <c r="V20" s="22"/>
    </row>
    <row r="21" spans="2:22" x14ac:dyDescent="0.25">
      <c r="V21" s="23"/>
    </row>
    <row r="22" spans="2:22" x14ac:dyDescent="0.25">
      <c r="V22" s="23"/>
    </row>
    <row r="23" spans="2:22" x14ac:dyDescent="0.25">
      <c r="V23" s="23"/>
    </row>
  </sheetData>
  <mergeCells count="6">
    <mergeCell ref="D14:G20"/>
    <mergeCell ref="C1:G1"/>
    <mergeCell ref="D2:G2"/>
    <mergeCell ref="C2:C3"/>
    <mergeCell ref="B2:B3"/>
    <mergeCell ref="D13:G13"/>
  </mergeCells>
  <conditionalFormatting sqref="C4:C10">
    <cfRule type="colorScale" priority="3">
      <colorScale>
        <cfvo type="percent" val="0"/>
        <cfvo type="percent" val="50"/>
        <cfvo type="percent" val="100"/>
        <color rgb="FFF8696B"/>
        <color rgb="FFFFEB84"/>
        <color rgb="FF63BE7B"/>
      </colorScale>
    </cfRule>
  </conditionalFormatting>
  <conditionalFormatting sqref="D14:D20">
    <cfRule type="colorScale" priority="1">
      <colorScale>
        <cfvo type="num" val="0"/>
        <cfvo type="percentile" val="50"/>
        <cfvo type="num" val="4"/>
        <color rgb="FFF8696B"/>
        <color rgb="FFFFEB84"/>
        <color rgb="FF63BE7B"/>
      </colorScale>
    </cfRule>
  </conditionalFormatting>
  <conditionalFormatting sqref="D4:G10">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R183"/>
  <sheetViews>
    <sheetView zoomScale="70" zoomScaleNormal="70" workbookViewId="0">
      <pane xSplit="1" ySplit="1" topLeftCell="B2" activePane="bottomRight" state="frozen"/>
      <selection pane="topRight" activeCell="B1" sqref="B1"/>
      <selection pane="bottomLeft" activeCell="A2" sqref="A2"/>
      <selection pane="bottomRight" activeCell="I61" sqref="I61:O69"/>
    </sheetView>
  </sheetViews>
  <sheetFormatPr defaultColWidth="8.7109375" defaultRowHeight="15" x14ac:dyDescent="0.25"/>
  <cols>
    <col min="1" max="1" width="13.28515625" style="2" bestFit="1" customWidth="1"/>
    <col min="2" max="2" width="84.5703125" style="44" customWidth="1"/>
    <col min="3" max="3" width="11" style="12" customWidth="1"/>
    <col min="4" max="4" width="13.7109375" style="12" customWidth="1"/>
    <col min="5" max="5" width="19.28515625" style="12" customWidth="1"/>
    <col min="6" max="6" width="21.28515625" style="2" customWidth="1"/>
    <col min="7" max="7" width="17.7109375" style="2" customWidth="1"/>
    <col min="8" max="8" width="11.42578125" style="2" customWidth="1"/>
    <col min="9" max="9" width="21.28515625" style="12" bestFit="1" customWidth="1"/>
    <col min="10" max="10" width="17.7109375" style="12" customWidth="1"/>
    <col min="11" max="11" width="18.42578125" style="12" customWidth="1"/>
    <col min="12" max="12" width="14.42578125" style="12" customWidth="1"/>
    <col min="13" max="13" width="15.42578125" style="12" customWidth="1"/>
    <col min="14" max="14" width="16" style="12" customWidth="1"/>
    <col min="15" max="16" width="14.42578125" style="12" customWidth="1"/>
    <col min="17" max="17" width="42.28515625" style="7" customWidth="1"/>
    <col min="18" max="18" width="62.28515625" style="7" customWidth="1"/>
    <col min="19" max="16384" width="8.7109375" style="7"/>
  </cols>
  <sheetData>
    <row r="1" spans="1:17" s="79" customFormat="1" ht="31.5" x14ac:dyDescent="0.25">
      <c r="A1" s="78" t="s">
        <v>35</v>
      </c>
      <c r="B1" s="78" t="s">
        <v>36</v>
      </c>
      <c r="C1" s="78" t="s">
        <v>37</v>
      </c>
      <c r="D1" s="78" t="s">
        <v>1</v>
      </c>
      <c r="E1" s="78" t="s">
        <v>38</v>
      </c>
      <c r="F1" s="78" t="s">
        <v>39</v>
      </c>
      <c r="G1" s="78" t="s">
        <v>40</v>
      </c>
      <c r="H1" s="78" t="s">
        <v>41</v>
      </c>
      <c r="I1" s="78" t="s">
        <v>42</v>
      </c>
      <c r="J1" s="78" t="s">
        <v>43</v>
      </c>
      <c r="K1" s="78" t="s">
        <v>44</v>
      </c>
      <c r="L1" s="78" t="s">
        <v>45</v>
      </c>
      <c r="M1" s="78" t="s">
        <v>2438</v>
      </c>
      <c r="N1" s="78" t="s">
        <v>2439</v>
      </c>
      <c r="O1" s="78" t="s">
        <v>46</v>
      </c>
      <c r="P1" s="78" t="s">
        <v>47</v>
      </c>
      <c r="Q1" s="78" t="s">
        <v>48</v>
      </c>
    </row>
    <row r="2" spans="1:17" ht="14.65" customHeight="1" x14ac:dyDescent="0.25">
      <c r="A2" s="109" t="s">
        <v>49</v>
      </c>
      <c r="B2" s="109"/>
      <c r="C2" s="109"/>
      <c r="D2" s="109"/>
      <c r="E2" s="109"/>
      <c r="F2" s="109"/>
      <c r="G2" s="109"/>
      <c r="H2" s="109"/>
      <c r="I2" s="109"/>
      <c r="J2" s="109"/>
      <c r="K2" s="109"/>
      <c r="L2" s="109"/>
      <c r="M2" s="109"/>
      <c r="N2" s="109"/>
      <c r="O2" s="109"/>
      <c r="P2" s="109"/>
      <c r="Q2" s="109"/>
    </row>
    <row r="3" spans="1:17" ht="30" x14ac:dyDescent="0.25">
      <c r="A3" s="73" t="s">
        <v>50</v>
      </c>
      <c r="B3" s="74" t="s">
        <v>51</v>
      </c>
      <c r="C3" s="73">
        <v>1</v>
      </c>
      <c r="D3" s="19" t="s">
        <v>2482</v>
      </c>
      <c r="E3" s="108">
        <f>(COUNTIF(D3:D6,$D$180)+(COUNTIF(D3:D6,$D$183)*0.5))/(COUNTA(D3:D6)-COUNTIF(D3:D6,$D$182))</f>
        <v>0</v>
      </c>
      <c r="F3" s="73" t="s">
        <v>53</v>
      </c>
      <c r="G3" s="19" t="s">
        <v>54</v>
      </c>
      <c r="H3" s="73">
        <f t="shared" ref="H3:H13" si="0">IF(D3="Не применимо",0,IF(G3="высокий",5,IF(G3="средний",3,IF(G3="низкий",1,""))))</f>
        <v>5</v>
      </c>
      <c r="I3" s="73">
        <f>IF(D3="Не применимо",0,IF(D3="Выполняется",1,IF(D3="Частично выполняется",0.5,IF(D3="Не выполняется",0,IF(D3="Не заполнено",0,"")))))</f>
        <v>0</v>
      </c>
      <c r="J3" s="19">
        <f t="shared" ref="J3:J13" si="1">I3*H3</f>
        <v>0</v>
      </c>
      <c r="K3" s="73" t="s">
        <v>55</v>
      </c>
      <c r="L3" s="73" t="s">
        <v>55</v>
      </c>
      <c r="M3" s="73" t="s">
        <v>55</v>
      </c>
      <c r="N3" s="73" t="s">
        <v>55</v>
      </c>
      <c r="O3" s="73"/>
      <c r="P3" s="73"/>
      <c r="Q3" s="75"/>
    </row>
    <row r="4" spans="1:17" ht="30" x14ac:dyDescent="0.25">
      <c r="A4" s="73" t="s">
        <v>56</v>
      </c>
      <c r="B4" s="74" t="s">
        <v>57</v>
      </c>
      <c r="C4" s="73">
        <v>1</v>
      </c>
      <c r="D4" s="19" t="s">
        <v>2482</v>
      </c>
      <c r="E4" s="108"/>
      <c r="F4" s="73" t="s">
        <v>58</v>
      </c>
      <c r="G4" s="19" t="s">
        <v>54</v>
      </c>
      <c r="H4" s="73">
        <f t="shared" si="0"/>
        <v>5</v>
      </c>
      <c r="I4" s="73">
        <f t="shared" ref="I4:I13" si="2">IF(D4="Не применимо",0,IF(D4="Выполняется",1,IF(D4="Частично выполняется",0.5,IF(D4="Не выполняется",0,IF(D4="Не заполнено",0,"")))))</f>
        <v>0</v>
      </c>
      <c r="J4" s="73">
        <f t="shared" si="1"/>
        <v>0</v>
      </c>
      <c r="K4" s="73" t="s">
        <v>55</v>
      </c>
      <c r="L4" s="73" t="s">
        <v>55</v>
      </c>
      <c r="M4" s="73" t="s">
        <v>55</v>
      </c>
      <c r="N4" s="73" t="s">
        <v>55</v>
      </c>
      <c r="O4" s="73"/>
      <c r="P4" s="73"/>
      <c r="Q4" s="75"/>
    </row>
    <row r="5" spans="1:17" ht="30" x14ac:dyDescent="0.25">
      <c r="A5" s="73" t="s">
        <v>59</v>
      </c>
      <c r="B5" s="11" t="s">
        <v>34</v>
      </c>
      <c r="C5" s="14">
        <v>1</v>
      </c>
      <c r="D5" s="19" t="s">
        <v>2482</v>
      </c>
      <c r="E5" s="108"/>
      <c r="F5" s="73" t="s">
        <v>60</v>
      </c>
      <c r="G5" s="19" t="s">
        <v>54</v>
      </c>
      <c r="H5" s="73">
        <f t="shared" si="0"/>
        <v>5</v>
      </c>
      <c r="I5" s="73">
        <f t="shared" si="2"/>
        <v>0</v>
      </c>
      <c r="J5" s="19">
        <f t="shared" si="1"/>
        <v>0</v>
      </c>
      <c r="K5" s="73" t="s">
        <v>55</v>
      </c>
      <c r="L5" s="73" t="s">
        <v>55</v>
      </c>
      <c r="M5" s="73" t="s">
        <v>55</v>
      </c>
      <c r="N5" s="73" t="s">
        <v>55</v>
      </c>
      <c r="O5" s="73"/>
      <c r="P5" s="73"/>
      <c r="Q5" s="48"/>
    </row>
    <row r="6" spans="1:17" ht="30" x14ac:dyDescent="0.25">
      <c r="A6" s="73" t="s">
        <v>61</v>
      </c>
      <c r="B6" s="11" t="s">
        <v>62</v>
      </c>
      <c r="C6" s="14">
        <v>1</v>
      </c>
      <c r="D6" s="19" t="s">
        <v>2482</v>
      </c>
      <c r="E6" s="108"/>
      <c r="F6" s="73" t="s">
        <v>60</v>
      </c>
      <c r="G6" s="19" t="s">
        <v>54</v>
      </c>
      <c r="H6" s="73">
        <f t="shared" si="0"/>
        <v>5</v>
      </c>
      <c r="I6" s="73">
        <f t="shared" si="2"/>
        <v>0</v>
      </c>
      <c r="J6" s="19">
        <f t="shared" si="1"/>
        <v>0</v>
      </c>
      <c r="K6" s="73" t="s">
        <v>55</v>
      </c>
      <c r="L6" s="73" t="s">
        <v>55</v>
      </c>
      <c r="M6" s="73" t="s">
        <v>55</v>
      </c>
      <c r="N6" s="73" t="s">
        <v>55</v>
      </c>
      <c r="O6" s="73"/>
      <c r="P6" s="73"/>
      <c r="Q6" s="48"/>
    </row>
    <row r="7" spans="1:17" ht="45" x14ac:dyDescent="0.25">
      <c r="A7" s="73" t="s">
        <v>63</v>
      </c>
      <c r="B7" s="74" t="s">
        <v>64</v>
      </c>
      <c r="C7" s="73">
        <v>2</v>
      </c>
      <c r="D7" s="19" t="s">
        <v>2482</v>
      </c>
      <c r="E7" s="108">
        <f>(COUNTIF(D7:D10,$D$180)+(COUNTIF(D7:D10,$D$183)*0.5))/(COUNTA(D7:D10)-COUNTIF(D7:D10,$D$182))</f>
        <v>0</v>
      </c>
      <c r="F7" s="73" t="s">
        <v>65</v>
      </c>
      <c r="G7" s="73" t="s">
        <v>54</v>
      </c>
      <c r="H7" s="73">
        <f t="shared" si="0"/>
        <v>5</v>
      </c>
      <c r="I7" s="73">
        <f t="shared" si="2"/>
        <v>0</v>
      </c>
      <c r="J7" s="73">
        <f t="shared" si="1"/>
        <v>0</v>
      </c>
      <c r="K7" s="73" t="s">
        <v>55</v>
      </c>
      <c r="L7" s="73" t="s">
        <v>55</v>
      </c>
      <c r="M7" s="73" t="s">
        <v>55</v>
      </c>
      <c r="N7" s="73" t="s">
        <v>55</v>
      </c>
      <c r="O7" s="73"/>
      <c r="P7" s="73"/>
      <c r="Q7" s="75"/>
    </row>
    <row r="8" spans="1:17" ht="45" x14ac:dyDescent="0.25">
      <c r="A8" s="73" t="s">
        <v>66</v>
      </c>
      <c r="B8" s="74" t="s">
        <v>67</v>
      </c>
      <c r="C8" s="73">
        <v>2</v>
      </c>
      <c r="D8" s="19" t="s">
        <v>2482</v>
      </c>
      <c r="E8" s="108"/>
      <c r="F8" s="73" t="s">
        <v>65</v>
      </c>
      <c r="G8" s="73" t="s">
        <v>68</v>
      </c>
      <c r="H8" s="73">
        <f t="shared" si="0"/>
        <v>3</v>
      </c>
      <c r="I8" s="73">
        <f t="shared" si="2"/>
        <v>0</v>
      </c>
      <c r="J8" s="73">
        <f t="shared" si="1"/>
        <v>0</v>
      </c>
      <c r="K8" s="73" t="s">
        <v>55</v>
      </c>
      <c r="L8" s="73" t="s">
        <v>55</v>
      </c>
      <c r="M8" s="73" t="s">
        <v>55</v>
      </c>
      <c r="N8" s="73" t="s">
        <v>55</v>
      </c>
      <c r="O8" s="73"/>
      <c r="P8" s="73"/>
      <c r="Q8" s="74"/>
    </row>
    <row r="9" spans="1:17" ht="30" x14ac:dyDescent="0.25">
      <c r="A9" s="73" t="s">
        <v>69</v>
      </c>
      <c r="B9" s="74" t="s">
        <v>70</v>
      </c>
      <c r="C9" s="73">
        <v>2</v>
      </c>
      <c r="D9" s="19" t="s">
        <v>2482</v>
      </c>
      <c r="E9" s="108"/>
      <c r="F9" s="73" t="s">
        <v>53</v>
      </c>
      <c r="G9" s="73" t="s">
        <v>68</v>
      </c>
      <c r="H9" s="73">
        <f t="shared" si="0"/>
        <v>3</v>
      </c>
      <c r="I9" s="73">
        <f t="shared" si="2"/>
        <v>0</v>
      </c>
      <c r="J9" s="73">
        <f t="shared" si="1"/>
        <v>0</v>
      </c>
      <c r="K9" s="73" t="s">
        <v>55</v>
      </c>
      <c r="L9" s="73" t="s">
        <v>55</v>
      </c>
      <c r="M9" s="73" t="s">
        <v>55</v>
      </c>
      <c r="N9" s="73" t="s">
        <v>55</v>
      </c>
      <c r="O9" s="73"/>
      <c r="P9" s="73"/>
      <c r="Q9" s="75"/>
    </row>
    <row r="10" spans="1:17" ht="30" x14ac:dyDescent="0.25">
      <c r="A10" s="73" t="s">
        <v>71</v>
      </c>
      <c r="B10" s="74" t="s">
        <v>72</v>
      </c>
      <c r="C10" s="73">
        <v>2</v>
      </c>
      <c r="D10" s="19" t="s">
        <v>2482</v>
      </c>
      <c r="E10" s="108"/>
      <c r="F10" s="73" t="s">
        <v>53</v>
      </c>
      <c r="G10" s="73" t="s">
        <v>68</v>
      </c>
      <c r="H10" s="73">
        <f t="shared" si="0"/>
        <v>3</v>
      </c>
      <c r="I10" s="73">
        <f t="shared" si="2"/>
        <v>0</v>
      </c>
      <c r="J10" s="73">
        <f t="shared" si="1"/>
        <v>0</v>
      </c>
      <c r="K10" s="73" t="s">
        <v>55</v>
      </c>
      <c r="L10" s="73" t="s">
        <v>55</v>
      </c>
      <c r="M10" s="73" t="s">
        <v>55</v>
      </c>
      <c r="N10" s="73" t="s">
        <v>55</v>
      </c>
      <c r="O10" s="73"/>
      <c r="P10" s="73"/>
      <c r="Q10" s="75"/>
    </row>
    <row r="11" spans="1:17" ht="30" x14ac:dyDescent="0.25">
      <c r="A11" s="73" t="s">
        <v>73</v>
      </c>
      <c r="B11" s="74" t="s">
        <v>74</v>
      </c>
      <c r="C11" s="73">
        <v>3</v>
      </c>
      <c r="D11" s="19" t="s">
        <v>2482</v>
      </c>
      <c r="E11" s="108">
        <f>(COUNTIF(D11:D12,$D$180)+(COUNTIF(D11:D12,$D$183)*0.5))/(COUNTA(D11:D12)-COUNTIF(D11:D12,$D$182))</f>
        <v>0</v>
      </c>
      <c r="F11" s="73" t="s">
        <v>60</v>
      </c>
      <c r="G11" s="19" t="s">
        <v>68</v>
      </c>
      <c r="H11" s="73">
        <f t="shared" si="0"/>
        <v>3</v>
      </c>
      <c r="I11" s="73">
        <f t="shared" si="2"/>
        <v>0</v>
      </c>
      <c r="J11" s="19">
        <f t="shared" si="1"/>
        <v>0</v>
      </c>
      <c r="K11" s="73" t="s">
        <v>55</v>
      </c>
      <c r="L11" s="73" t="s">
        <v>55</v>
      </c>
      <c r="M11" s="73" t="s">
        <v>55</v>
      </c>
      <c r="N11" s="73" t="s">
        <v>55</v>
      </c>
      <c r="O11" s="73"/>
      <c r="P11" s="73"/>
      <c r="Q11" s="74"/>
    </row>
    <row r="12" spans="1:17" ht="30" x14ac:dyDescent="0.25">
      <c r="A12" s="73" t="s">
        <v>75</v>
      </c>
      <c r="B12" s="74" t="s">
        <v>76</v>
      </c>
      <c r="C12" s="73">
        <v>3</v>
      </c>
      <c r="D12" s="19" t="s">
        <v>2482</v>
      </c>
      <c r="E12" s="108"/>
      <c r="F12" s="73" t="s">
        <v>53</v>
      </c>
      <c r="G12" s="73" t="s">
        <v>54</v>
      </c>
      <c r="H12" s="73">
        <f t="shared" si="0"/>
        <v>5</v>
      </c>
      <c r="I12" s="73">
        <f t="shared" si="2"/>
        <v>0</v>
      </c>
      <c r="J12" s="73">
        <f t="shared" si="1"/>
        <v>0</v>
      </c>
      <c r="K12" s="73" t="s">
        <v>55</v>
      </c>
      <c r="L12" s="73" t="s">
        <v>55</v>
      </c>
      <c r="M12" s="73" t="s">
        <v>55</v>
      </c>
      <c r="N12" s="73" t="s">
        <v>55</v>
      </c>
      <c r="O12" s="73"/>
      <c r="P12" s="73"/>
      <c r="Q12" s="75"/>
    </row>
    <row r="13" spans="1:17" ht="30" x14ac:dyDescent="0.25">
      <c r="A13" s="73" t="s">
        <v>77</v>
      </c>
      <c r="B13" s="74" t="s">
        <v>78</v>
      </c>
      <c r="C13" s="73">
        <v>4</v>
      </c>
      <c r="D13" s="19" t="s">
        <v>2482</v>
      </c>
      <c r="E13" s="71">
        <f>(COUNTIF(D13,$D$180)+(COUNTIF(D13,$D$183)*0.5))/(COUNTA(D13)-COUNTIF(D13,$D$182))</f>
        <v>0</v>
      </c>
      <c r="F13" s="73" t="s">
        <v>58</v>
      </c>
      <c r="G13" s="73" t="s">
        <v>68</v>
      </c>
      <c r="H13" s="73">
        <f t="shared" si="0"/>
        <v>3</v>
      </c>
      <c r="I13" s="73">
        <f t="shared" si="2"/>
        <v>0</v>
      </c>
      <c r="J13" s="73">
        <f t="shared" si="1"/>
        <v>0</v>
      </c>
      <c r="K13" s="73" t="s">
        <v>55</v>
      </c>
      <c r="L13" s="73" t="s">
        <v>55</v>
      </c>
      <c r="M13" s="73" t="s">
        <v>55</v>
      </c>
      <c r="N13" s="73" t="s">
        <v>55</v>
      </c>
      <c r="O13" s="73"/>
      <c r="P13" s="73"/>
      <c r="Q13" s="75"/>
    </row>
    <row r="14" spans="1:17" ht="30" x14ac:dyDescent="0.25">
      <c r="A14" s="38"/>
      <c r="B14" s="39"/>
      <c r="C14" s="40"/>
      <c r="D14" s="24"/>
      <c r="E14" s="24"/>
      <c r="F14" s="38"/>
      <c r="G14" s="25" t="s">
        <v>79</v>
      </c>
      <c r="H14" s="24">
        <f>SUM(H3:H13)</f>
        <v>45</v>
      </c>
      <c r="I14" s="24" t="s">
        <v>80</v>
      </c>
      <c r="J14" s="24">
        <f>SUM(J3:J13)</f>
        <v>0</v>
      </c>
      <c r="K14" s="41"/>
      <c r="L14" s="41"/>
      <c r="M14" s="41"/>
      <c r="N14" s="41"/>
      <c r="O14" s="41"/>
      <c r="P14" s="41"/>
      <c r="Q14" s="38"/>
    </row>
    <row r="15" spans="1:17" ht="14.65" customHeight="1" x14ac:dyDescent="0.25">
      <c r="A15" s="109" t="s">
        <v>81</v>
      </c>
      <c r="B15" s="109"/>
      <c r="C15" s="109"/>
      <c r="D15" s="109"/>
      <c r="E15" s="109"/>
      <c r="F15" s="109"/>
      <c r="G15" s="109"/>
      <c r="H15" s="109"/>
      <c r="I15" s="109"/>
      <c r="J15" s="109"/>
      <c r="K15" s="109"/>
      <c r="L15" s="109"/>
      <c r="M15" s="109"/>
      <c r="N15" s="109"/>
      <c r="O15" s="109"/>
      <c r="P15" s="109"/>
      <c r="Q15" s="109"/>
    </row>
    <row r="16" spans="1:17" ht="30" x14ac:dyDescent="0.25">
      <c r="A16" s="73" t="s">
        <v>82</v>
      </c>
      <c r="B16" s="74" t="s">
        <v>83</v>
      </c>
      <c r="C16" s="73">
        <v>1</v>
      </c>
      <c r="D16" s="19" t="s">
        <v>2482</v>
      </c>
      <c r="E16" s="108">
        <f>(COUNTIF(D16:D22,$D$180)+(COUNTIF(D16:D22,$D$183)*0.5))/(COUNTA(D16:D22)-COUNTIF(D16:D22,$D$182))</f>
        <v>0</v>
      </c>
      <c r="F16" s="73" t="s">
        <v>84</v>
      </c>
      <c r="G16" s="19" t="s">
        <v>54</v>
      </c>
      <c r="H16" s="73">
        <f t="shared" ref="H16:H46" si="3">IF(D16="Не применимо",0,IF(G16="высокий",5,IF(G16="средний",3,IF(G16="низкий",1,""))))</f>
        <v>5</v>
      </c>
      <c r="I16" s="73">
        <f t="shared" ref="I16:I46" si="4">IF(D16="Не применимо",0,IF(D16="Выполняется",1,IF(D16="Частично выполняется",0.5,IF(D16="Не выполняется",0,IF(D16="Не заполнено",0,"")))))</f>
        <v>0</v>
      </c>
      <c r="J16" s="19">
        <f t="shared" ref="J16:J46" si="5">I16*H16</f>
        <v>0</v>
      </c>
      <c r="K16" s="73" t="s">
        <v>55</v>
      </c>
      <c r="L16" s="73" t="s">
        <v>85</v>
      </c>
      <c r="M16" s="73" t="s">
        <v>2440</v>
      </c>
      <c r="N16" s="73" t="s">
        <v>2450</v>
      </c>
      <c r="O16" s="42"/>
      <c r="P16" s="42"/>
      <c r="Q16" s="74"/>
    </row>
    <row r="17" spans="1:18" ht="30" x14ac:dyDescent="0.25">
      <c r="A17" s="73" t="s">
        <v>86</v>
      </c>
      <c r="B17" s="74" t="s">
        <v>87</v>
      </c>
      <c r="C17" s="73">
        <v>1</v>
      </c>
      <c r="D17" s="19" t="s">
        <v>2482</v>
      </c>
      <c r="E17" s="108"/>
      <c r="F17" s="73" t="s">
        <v>84</v>
      </c>
      <c r="G17" s="19" t="s">
        <v>68</v>
      </c>
      <c r="H17" s="73">
        <f t="shared" si="3"/>
        <v>3</v>
      </c>
      <c r="I17" s="73">
        <f t="shared" si="4"/>
        <v>0</v>
      </c>
      <c r="J17" s="19">
        <f t="shared" si="5"/>
        <v>0</v>
      </c>
      <c r="K17" s="73" t="s">
        <v>55</v>
      </c>
      <c r="L17" s="73" t="s">
        <v>85</v>
      </c>
      <c r="M17" s="73" t="s">
        <v>2441</v>
      </c>
      <c r="N17" s="73" t="s">
        <v>2451</v>
      </c>
      <c r="O17" s="42"/>
      <c r="P17" s="42"/>
      <c r="Q17" s="74"/>
      <c r="R17" s="2"/>
    </row>
    <row r="18" spans="1:18" ht="30" x14ac:dyDescent="0.25">
      <c r="A18" s="73" t="s">
        <v>88</v>
      </c>
      <c r="B18" s="74" t="s">
        <v>89</v>
      </c>
      <c r="C18" s="73">
        <v>1</v>
      </c>
      <c r="D18" s="19" t="s">
        <v>2482</v>
      </c>
      <c r="E18" s="108"/>
      <c r="F18" s="73" t="s">
        <v>90</v>
      </c>
      <c r="G18" s="19" t="s">
        <v>54</v>
      </c>
      <c r="H18" s="73">
        <f t="shared" si="3"/>
        <v>5</v>
      </c>
      <c r="I18" s="73">
        <f t="shared" si="4"/>
        <v>0</v>
      </c>
      <c r="J18" s="19">
        <f t="shared" si="5"/>
        <v>0</v>
      </c>
      <c r="K18" s="73" t="s">
        <v>55</v>
      </c>
      <c r="L18" s="73" t="s">
        <v>85</v>
      </c>
      <c r="M18" s="73" t="s">
        <v>1479</v>
      </c>
      <c r="N18" s="73" t="s">
        <v>1479</v>
      </c>
      <c r="O18" s="42"/>
      <c r="P18" s="42"/>
      <c r="Q18" s="74"/>
    </row>
    <row r="19" spans="1:18" ht="30" x14ac:dyDescent="0.25">
      <c r="A19" s="73" t="s">
        <v>91</v>
      </c>
      <c r="B19" s="74" t="s">
        <v>92</v>
      </c>
      <c r="C19" s="73">
        <v>1</v>
      </c>
      <c r="D19" s="19" t="s">
        <v>2482</v>
      </c>
      <c r="E19" s="108"/>
      <c r="F19" s="73" t="s">
        <v>93</v>
      </c>
      <c r="G19" s="19" t="s">
        <v>54</v>
      </c>
      <c r="H19" s="73">
        <f t="shared" si="3"/>
        <v>5</v>
      </c>
      <c r="I19" s="73">
        <f t="shared" si="4"/>
        <v>0</v>
      </c>
      <c r="J19" s="19">
        <f t="shared" si="5"/>
        <v>0</v>
      </c>
      <c r="K19" s="73" t="s">
        <v>55</v>
      </c>
      <c r="L19" s="73" t="s">
        <v>55</v>
      </c>
      <c r="M19" s="73" t="s">
        <v>55</v>
      </c>
      <c r="N19" s="73" t="s">
        <v>55</v>
      </c>
      <c r="O19" s="42"/>
      <c r="P19" s="42"/>
      <c r="Q19" s="74"/>
    </row>
    <row r="20" spans="1:18" ht="30" x14ac:dyDescent="0.25">
      <c r="A20" s="73" t="s">
        <v>94</v>
      </c>
      <c r="B20" s="74" t="s">
        <v>95</v>
      </c>
      <c r="C20" s="73">
        <v>1</v>
      </c>
      <c r="D20" s="19" t="s">
        <v>2482</v>
      </c>
      <c r="E20" s="108"/>
      <c r="F20" s="73" t="s">
        <v>96</v>
      </c>
      <c r="G20" s="19" t="s">
        <v>68</v>
      </c>
      <c r="H20" s="73">
        <f t="shared" si="3"/>
        <v>3</v>
      </c>
      <c r="I20" s="73">
        <f t="shared" si="4"/>
        <v>0</v>
      </c>
      <c r="J20" s="19">
        <f t="shared" si="5"/>
        <v>0</v>
      </c>
      <c r="K20" s="73" t="s">
        <v>55</v>
      </c>
      <c r="L20" s="73" t="s">
        <v>55</v>
      </c>
      <c r="M20" s="73" t="s">
        <v>1479</v>
      </c>
      <c r="N20" s="73" t="s">
        <v>1479</v>
      </c>
      <c r="O20" s="42"/>
      <c r="P20" s="42"/>
      <c r="Q20" s="74"/>
    </row>
    <row r="21" spans="1:18" ht="45" x14ac:dyDescent="0.25">
      <c r="A21" s="73" t="s">
        <v>97</v>
      </c>
      <c r="B21" s="74" t="s">
        <v>98</v>
      </c>
      <c r="C21" s="73">
        <v>1</v>
      </c>
      <c r="D21" s="19" t="s">
        <v>2482</v>
      </c>
      <c r="E21" s="108"/>
      <c r="F21" s="73" t="s">
        <v>99</v>
      </c>
      <c r="G21" s="19" t="s">
        <v>54</v>
      </c>
      <c r="H21" s="73">
        <f t="shared" si="3"/>
        <v>5</v>
      </c>
      <c r="I21" s="73">
        <f t="shared" si="4"/>
        <v>0</v>
      </c>
      <c r="J21" s="19">
        <f t="shared" si="5"/>
        <v>0</v>
      </c>
      <c r="K21" s="73" t="s">
        <v>55</v>
      </c>
      <c r="L21" s="73" t="s">
        <v>85</v>
      </c>
      <c r="M21" s="73" t="s">
        <v>2442</v>
      </c>
      <c r="N21" s="73" t="s">
        <v>2452</v>
      </c>
      <c r="O21" s="42"/>
      <c r="P21" s="42"/>
      <c r="Q21" s="74"/>
    </row>
    <row r="22" spans="1:18" ht="300" x14ac:dyDescent="0.25">
      <c r="A22" s="73" t="s">
        <v>100</v>
      </c>
      <c r="B22" s="74" t="s">
        <v>101</v>
      </c>
      <c r="C22" s="73">
        <v>1</v>
      </c>
      <c r="D22" s="19" t="s">
        <v>2482</v>
      </c>
      <c r="E22" s="108"/>
      <c r="F22" s="73" t="s">
        <v>99</v>
      </c>
      <c r="G22" s="19" t="s">
        <v>54</v>
      </c>
      <c r="H22" s="73">
        <f t="shared" si="3"/>
        <v>5</v>
      </c>
      <c r="I22" s="73">
        <f t="shared" si="4"/>
        <v>0</v>
      </c>
      <c r="J22" s="19">
        <f t="shared" si="5"/>
        <v>0</v>
      </c>
      <c r="K22" s="73" t="s">
        <v>55</v>
      </c>
      <c r="L22" s="73" t="s">
        <v>85</v>
      </c>
      <c r="M22" s="73" t="s">
        <v>2463</v>
      </c>
      <c r="N22" s="73" t="s">
        <v>2481</v>
      </c>
      <c r="O22" s="42"/>
      <c r="P22" s="42"/>
      <c r="Q22" s="74"/>
    </row>
    <row r="23" spans="1:18" ht="60" x14ac:dyDescent="0.25">
      <c r="A23" s="73" t="s">
        <v>102</v>
      </c>
      <c r="B23" s="74" t="s">
        <v>103</v>
      </c>
      <c r="C23" s="73">
        <v>2</v>
      </c>
      <c r="D23" s="19" t="s">
        <v>2482</v>
      </c>
      <c r="E23" s="110">
        <f>(COUNTIF(D23:D35,$D$180)+(COUNTIF(D23:D35,$D$183)*0.5))/(COUNTA(D23:D35)-COUNTIF(D23:D35,$D$182))</f>
        <v>0</v>
      </c>
      <c r="F23" s="73" t="s">
        <v>84</v>
      </c>
      <c r="G23" s="19" t="s">
        <v>54</v>
      </c>
      <c r="H23" s="73">
        <f t="shared" si="3"/>
        <v>5</v>
      </c>
      <c r="I23" s="73">
        <f t="shared" si="4"/>
        <v>0</v>
      </c>
      <c r="J23" s="19">
        <f t="shared" si="5"/>
        <v>0</v>
      </c>
      <c r="K23" s="73" t="s">
        <v>55</v>
      </c>
      <c r="L23" s="73" t="s">
        <v>85</v>
      </c>
      <c r="M23" s="73" t="s">
        <v>2443</v>
      </c>
      <c r="N23" s="73" t="s">
        <v>2443</v>
      </c>
      <c r="O23" s="42"/>
      <c r="P23" s="42"/>
      <c r="Q23" s="74"/>
    </row>
    <row r="24" spans="1:18" ht="30" x14ac:dyDescent="0.25">
      <c r="A24" s="73" t="s">
        <v>104</v>
      </c>
      <c r="B24" s="74" t="s">
        <v>105</v>
      </c>
      <c r="C24" s="73">
        <v>2</v>
      </c>
      <c r="D24" s="19" t="s">
        <v>2482</v>
      </c>
      <c r="E24" s="111"/>
      <c r="F24" s="73" t="s">
        <v>90</v>
      </c>
      <c r="G24" s="19" t="s">
        <v>54</v>
      </c>
      <c r="H24" s="73">
        <f t="shared" si="3"/>
        <v>5</v>
      </c>
      <c r="I24" s="73">
        <f t="shared" si="4"/>
        <v>0</v>
      </c>
      <c r="J24" s="19">
        <f t="shared" si="5"/>
        <v>0</v>
      </c>
      <c r="K24" s="73" t="s">
        <v>55</v>
      </c>
      <c r="L24" s="73" t="s">
        <v>85</v>
      </c>
      <c r="M24" s="73" t="s">
        <v>1479</v>
      </c>
      <c r="N24" s="73" t="s">
        <v>1479</v>
      </c>
      <c r="O24" s="42"/>
      <c r="P24" s="42"/>
      <c r="Q24" s="74"/>
    </row>
    <row r="25" spans="1:18" ht="30" x14ac:dyDescent="0.25">
      <c r="A25" s="73" t="s">
        <v>106</v>
      </c>
      <c r="B25" s="74" t="s">
        <v>107</v>
      </c>
      <c r="C25" s="73">
        <v>2</v>
      </c>
      <c r="D25" s="19" t="s">
        <v>2482</v>
      </c>
      <c r="E25" s="111"/>
      <c r="F25" s="73" t="s">
        <v>108</v>
      </c>
      <c r="G25" s="19" t="s">
        <v>54</v>
      </c>
      <c r="H25" s="73">
        <f t="shared" si="3"/>
        <v>5</v>
      </c>
      <c r="I25" s="73">
        <f t="shared" si="4"/>
        <v>0</v>
      </c>
      <c r="J25" s="19">
        <f t="shared" si="5"/>
        <v>0</v>
      </c>
      <c r="K25" s="73" t="s">
        <v>55</v>
      </c>
      <c r="L25" s="73" t="s">
        <v>85</v>
      </c>
      <c r="M25" s="73" t="s">
        <v>55</v>
      </c>
      <c r="N25" s="73" t="s">
        <v>55</v>
      </c>
      <c r="O25" s="42"/>
      <c r="P25" s="42"/>
      <c r="Q25" s="74" t="s">
        <v>2541</v>
      </c>
    </row>
    <row r="26" spans="1:18" ht="30" x14ac:dyDescent="0.25">
      <c r="A26" s="73" t="s">
        <v>109</v>
      </c>
      <c r="B26" s="74" t="s">
        <v>110</v>
      </c>
      <c r="C26" s="73">
        <v>2</v>
      </c>
      <c r="D26" s="19" t="s">
        <v>2482</v>
      </c>
      <c r="E26" s="111"/>
      <c r="F26" s="73" t="s">
        <v>111</v>
      </c>
      <c r="G26" s="19" t="s">
        <v>54</v>
      </c>
      <c r="H26" s="73">
        <f t="shared" si="3"/>
        <v>5</v>
      </c>
      <c r="I26" s="73">
        <f t="shared" si="4"/>
        <v>0</v>
      </c>
      <c r="J26" s="19">
        <f t="shared" si="5"/>
        <v>0</v>
      </c>
      <c r="K26" s="73" t="s">
        <v>55</v>
      </c>
      <c r="L26" s="73" t="s">
        <v>85</v>
      </c>
      <c r="M26" s="73" t="s">
        <v>55</v>
      </c>
      <c r="N26" s="73" t="s">
        <v>55</v>
      </c>
      <c r="O26" s="42"/>
      <c r="P26" s="42"/>
      <c r="Q26" s="74"/>
    </row>
    <row r="27" spans="1:18" ht="45" x14ac:dyDescent="0.25">
      <c r="A27" s="73" t="s">
        <v>112</v>
      </c>
      <c r="B27" s="74" t="s">
        <v>113</v>
      </c>
      <c r="C27" s="73">
        <v>2</v>
      </c>
      <c r="D27" s="19" t="s">
        <v>2482</v>
      </c>
      <c r="E27" s="111"/>
      <c r="F27" s="73" t="s">
        <v>90</v>
      </c>
      <c r="G27" s="19" t="s">
        <v>54</v>
      </c>
      <c r="H27" s="73">
        <f t="shared" si="3"/>
        <v>5</v>
      </c>
      <c r="I27" s="73">
        <f t="shared" si="4"/>
        <v>0</v>
      </c>
      <c r="J27" s="19">
        <f t="shared" si="5"/>
        <v>0</v>
      </c>
      <c r="K27" s="73" t="s">
        <v>55</v>
      </c>
      <c r="L27" s="73" t="s">
        <v>85</v>
      </c>
      <c r="M27" s="73" t="s">
        <v>55</v>
      </c>
      <c r="N27" s="73" t="s">
        <v>55</v>
      </c>
      <c r="O27" s="42"/>
      <c r="P27" s="42"/>
      <c r="Q27" s="74"/>
    </row>
    <row r="28" spans="1:18" ht="30" x14ac:dyDescent="0.25">
      <c r="A28" s="73" t="s">
        <v>114</v>
      </c>
      <c r="B28" s="74" t="s">
        <v>115</v>
      </c>
      <c r="C28" s="73">
        <v>2</v>
      </c>
      <c r="D28" s="19" t="s">
        <v>2482</v>
      </c>
      <c r="E28" s="111"/>
      <c r="F28" s="73" t="s">
        <v>96</v>
      </c>
      <c r="G28" s="19" t="s">
        <v>68</v>
      </c>
      <c r="H28" s="73">
        <f t="shared" si="3"/>
        <v>3</v>
      </c>
      <c r="I28" s="73">
        <f t="shared" si="4"/>
        <v>0</v>
      </c>
      <c r="J28" s="19">
        <f t="shared" si="5"/>
        <v>0</v>
      </c>
      <c r="K28" s="73" t="s">
        <v>55</v>
      </c>
      <c r="L28" s="73" t="s">
        <v>55</v>
      </c>
      <c r="M28" s="73" t="s">
        <v>1479</v>
      </c>
      <c r="N28" s="73" t="s">
        <v>1479</v>
      </c>
      <c r="O28" s="42"/>
      <c r="P28" s="42"/>
      <c r="Q28" s="75"/>
    </row>
    <row r="29" spans="1:18" ht="165" x14ac:dyDescent="0.25">
      <c r="A29" s="73" t="s">
        <v>116</v>
      </c>
      <c r="B29" s="74" t="s">
        <v>117</v>
      </c>
      <c r="C29" s="73">
        <v>2</v>
      </c>
      <c r="D29" s="19" t="s">
        <v>2482</v>
      </c>
      <c r="E29" s="111"/>
      <c r="F29" s="73" t="s">
        <v>99</v>
      </c>
      <c r="G29" s="19" t="s">
        <v>54</v>
      </c>
      <c r="H29" s="73">
        <f t="shared" si="3"/>
        <v>5</v>
      </c>
      <c r="I29" s="73">
        <f t="shared" si="4"/>
        <v>0</v>
      </c>
      <c r="J29" s="19">
        <f t="shared" si="5"/>
        <v>0</v>
      </c>
      <c r="K29" s="73" t="s">
        <v>55</v>
      </c>
      <c r="L29" s="73" t="s">
        <v>85</v>
      </c>
      <c r="M29" s="73" t="s">
        <v>2444</v>
      </c>
      <c r="N29" s="73" t="s">
        <v>2460</v>
      </c>
      <c r="O29" s="42"/>
      <c r="P29" s="42"/>
      <c r="Q29" s="74"/>
    </row>
    <row r="30" spans="1:18" ht="30" x14ac:dyDescent="0.25">
      <c r="A30" s="73" t="s">
        <v>118</v>
      </c>
      <c r="B30" s="74" t="s">
        <v>119</v>
      </c>
      <c r="C30" s="73">
        <v>2</v>
      </c>
      <c r="D30" s="19" t="s">
        <v>2482</v>
      </c>
      <c r="E30" s="111"/>
      <c r="F30" s="73" t="s">
        <v>99</v>
      </c>
      <c r="G30" s="19" t="s">
        <v>54</v>
      </c>
      <c r="H30" s="73">
        <f t="shared" si="3"/>
        <v>5</v>
      </c>
      <c r="I30" s="73">
        <f t="shared" si="4"/>
        <v>0</v>
      </c>
      <c r="J30" s="19">
        <f t="shared" si="5"/>
        <v>0</v>
      </c>
      <c r="K30" s="73" t="s">
        <v>55</v>
      </c>
      <c r="L30" s="73" t="s">
        <v>85</v>
      </c>
      <c r="M30" s="73" t="s">
        <v>2445</v>
      </c>
      <c r="N30" s="73" t="s">
        <v>2453</v>
      </c>
      <c r="O30" s="42"/>
      <c r="P30" s="42"/>
      <c r="Q30" s="75"/>
    </row>
    <row r="31" spans="1:18" ht="409.5" x14ac:dyDescent="0.25">
      <c r="A31" s="73" t="s">
        <v>120</v>
      </c>
      <c r="B31" s="74" t="s">
        <v>121</v>
      </c>
      <c r="C31" s="73">
        <v>2</v>
      </c>
      <c r="D31" s="19" t="s">
        <v>2482</v>
      </c>
      <c r="E31" s="111"/>
      <c r="F31" s="73" t="s">
        <v>122</v>
      </c>
      <c r="G31" s="19" t="s">
        <v>54</v>
      </c>
      <c r="H31" s="73">
        <f t="shared" si="3"/>
        <v>5</v>
      </c>
      <c r="I31" s="73">
        <f t="shared" si="4"/>
        <v>0</v>
      </c>
      <c r="J31" s="19">
        <f t="shared" si="5"/>
        <v>0</v>
      </c>
      <c r="K31" s="73" t="s">
        <v>55</v>
      </c>
      <c r="L31" s="73" t="s">
        <v>55</v>
      </c>
      <c r="M31" s="73" t="s">
        <v>2446</v>
      </c>
      <c r="N31" s="73" t="s">
        <v>2457</v>
      </c>
      <c r="O31" s="42" t="s">
        <v>123</v>
      </c>
      <c r="P31" s="42"/>
      <c r="Q31" s="74"/>
    </row>
    <row r="32" spans="1:18" ht="30" x14ac:dyDescent="0.25">
      <c r="A32" s="73" t="s">
        <v>124</v>
      </c>
      <c r="B32" s="74" t="s">
        <v>125</v>
      </c>
      <c r="C32" s="73">
        <v>2</v>
      </c>
      <c r="D32" s="19" t="s">
        <v>2482</v>
      </c>
      <c r="E32" s="111"/>
      <c r="F32" s="73" t="s">
        <v>122</v>
      </c>
      <c r="G32" s="19" t="s">
        <v>54</v>
      </c>
      <c r="H32" s="73">
        <f t="shared" si="3"/>
        <v>5</v>
      </c>
      <c r="I32" s="73">
        <f t="shared" si="4"/>
        <v>0</v>
      </c>
      <c r="J32" s="19">
        <f t="shared" si="5"/>
        <v>0</v>
      </c>
      <c r="K32" s="73" t="s">
        <v>55</v>
      </c>
      <c r="L32" s="73" t="s">
        <v>55</v>
      </c>
      <c r="M32" s="73" t="s">
        <v>55</v>
      </c>
      <c r="N32" s="73" t="s">
        <v>55</v>
      </c>
      <c r="O32" s="42"/>
      <c r="P32" s="42"/>
      <c r="Q32" s="74"/>
    </row>
    <row r="33" spans="1:17" ht="30" x14ac:dyDescent="0.25">
      <c r="A33" s="73" t="s">
        <v>126</v>
      </c>
      <c r="B33" s="74" t="s">
        <v>127</v>
      </c>
      <c r="C33" s="73">
        <v>2</v>
      </c>
      <c r="D33" s="19" t="s">
        <v>2482</v>
      </c>
      <c r="E33" s="111"/>
      <c r="F33" s="73" t="s">
        <v>84</v>
      </c>
      <c r="G33" s="19" t="s">
        <v>68</v>
      </c>
      <c r="H33" s="73">
        <f t="shared" si="3"/>
        <v>3</v>
      </c>
      <c r="I33" s="73">
        <f t="shared" si="4"/>
        <v>0</v>
      </c>
      <c r="J33" s="19">
        <f t="shared" si="5"/>
        <v>0</v>
      </c>
      <c r="K33" s="73" t="s">
        <v>55</v>
      </c>
      <c r="L33" s="73" t="s">
        <v>85</v>
      </c>
      <c r="M33" s="73" t="s">
        <v>55</v>
      </c>
      <c r="N33" s="73" t="s">
        <v>55</v>
      </c>
      <c r="O33" s="42"/>
      <c r="P33" s="42"/>
      <c r="Q33" s="74"/>
    </row>
    <row r="34" spans="1:17" ht="180" x14ac:dyDescent="0.25">
      <c r="A34" s="73" t="s">
        <v>128</v>
      </c>
      <c r="B34" s="74" t="s">
        <v>129</v>
      </c>
      <c r="C34" s="73">
        <v>2</v>
      </c>
      <c r="D34" s="19" t="s">
        <v>2482</v>
      </c>
      <c r="E34" s="111"/>
      <c r="F34" s="73" t="s">
        <v>99</v>
      </c>
      <c r="G34" s="19" t="s">
        <v>54</v>
      </c>
      <c r="H34" s="73">
        <f t="shared" si="3"/>
        <v>5</v>
      </c>
      <c r="I34" s="73">
        <f t="shared" si="4"/>
        <v>0</v>
      </c>
      <c r="J34" s="19">
        <f t="shared" si="5"/>
        <v>0</v>
      </c>
      <c r="K34" s="73" t="s">
        <v>55</v>
      </c>
      <c r="L34" s="73" t="s">
        <v>85</v>
      </c>
      <c r="M34" s="73" t="s">
        <v>2447</v>
      </c>
      <c r="N34" s="73" t="s">
        <v>2454</v>
      </c>
      <c r="O34" s="42"/>
      <c r="P34" s="42"/>
      <c r="Q34" s="74"/>
    </row>
    <row r="35" spans="1:17" ht="30" x14ac:dyDescent="0.25">
      <c r="A35" s="84" t="s">
        <v>2551</v>
      </c>
      <c r="B35" s="43" t="s">
        <v>266</v>
      </c>
      <c r="C35" s="84">
        <v>2</v>
      </c>
      <c r="D35" s="19" t="s">
        <v>2482</v>
      </c>
      <c r="E35" s="112"/>
      <c r="F35" s="84" t="s">
        <v>99</v>
      </c>
      <c r="G35" s="84" t="s">
        <v>68</v>
      </c>
      <c r="H35" s="84">
        <f t="shared" si="3"/>
        <v>3</v>
      </c>
      <c r="I35" s="84">
        <f t="shared" si="4"/>
        <v>0</v>
      </c>
      <c r="J35" s="84">
        <f t="shared" si="5"/>
        <v>0</v>
      </c>
      <c r="K35" s="84" t="s">
        <v>55</v>
      </c>
      <c r="L35" s="84" t="s">
        <v>267</v>
      </c>
      <c r="M35" s="84" t="s">
        <v>55</v>
      </c>
      <c r="N35" s="84" t="s">
        <v>55</v>
      </c>
      <c r="O35" s="84"/>
      <c r="P35" s="84"/>
      <c r="Q35" s="85"/>
    </row>
    <row r="36" spans="1:17" ht="30" x14ac:dyDescent="0.25">
      <c r="A36" s="73" t="s">
        <v>130</v>
      </c>
      <c r="B36" s="74" t="s">
        <v>131</v>
      </c>
      <c r="C36" s="73">
        <v>3</v>
      </c>
      <c r="D36" s="19" t="s">
        <v>2482</v>
      </c>
      <c r="E36" s="108">
        <f>(COUNTIF(D36:D42,$D$180)+(COUNTIF(D36:D42,$D$183)*0.5))/(COUNTA(D36:D42)-COUNTIF(D36:D42,$D$182))</f>
        <v>0</v>
      </c>
      <c r="F36" s="73" t="s">
        <v>90</v>
      </c>
      <c r="G36" s="19" t="s">
        <v>68</v>
      </c>
      <c r="H36" s="73">
        <f t="shared" si="3"/>
        <v>3</v>
      </c>
      <c r="I36" s="73">
        <f t="shared" si="4"/>
        <v>0</v>
      </c>
      <c r="J36" s="19">
        <f t="shared" si="5"/>
        <v>0</v>
      </c>
      <c r="K36" s="73" t="s">
        <v>55</v>
      </c>
      <c r="L36" s="73" t="s">
        <v>85</v>
      </c>
      <c r="M36" s="73" t="s">
        <v>55</v>
      </c>
      <c r="N36" s="73" t="s">
        <v>55</v>
      </c>
      <c r="O36" s="42"/>
      <c r="P36" s="42"/>
      <c r="Q36" s="74"/>
    </row>
    <row r="37" spans="1:17" ht="30" x14ac:dyDescent="0.25">
      <c r="A37" s="73" t="s">
        <v>132</v>
      </c>
      <c r="B37" s="74" t="s">
        <v>133</v>
      </c>
      <c r="C37" s="73">
        <v>3</v>
      </c>
      <c r="D37" s="19" t="s">
        <v>2482</v>
      </c>
      <c r="E37" s="108"/>
      <c r="F37" s="73" t="s">
        <v>111</v>
      </c>
      <c r="G37" s="19" t="s">
        <v>54</v>
      </c>
      <c r="H37" s="73">
        <f t="shared" si="3"/>
        <v>5</v>
      </c>
      <c r="I37" s="73">
        <f t="shared" si="4"/>
        <v>0</v>
      </c>
      <c r="J37" s="19">
        <f t="shared" si="5"/>
        <v>0</v>
      </c>
      <c r="K37" s="73" t="s">
        <v>55</v>
      </c>
      <c r="L37" s="73" t="s">
        <v>85</v>
      </c>
      <c r="M37" s="73" t="s">
        <v>55</v>
      </c>
      <c r="N37" s="73" t="s">
        <v>55</v>
      </c>
      <c r="O37" s="42"/>
      <c r="P37" s="42"/>
      <c r="Q37" s="74"/>
    </row>
    <row r="38" spans="1:17" ht="30" x14ac:dyDescent="0.25">
      <c r="A38" s="73" t="s">
        <v>134</v>
      </c>
      <c r="B38" s="74" t="s">
        <v>135</v>
      </c>
      <c r="C38" s="73">
        <v>3</v>
      </c>
      <c r="D38" s="19" t="s">
        <v>2482</v>
      </c>
      <c r="E38" s="108"/>
      <c r="F38" s="73" t="s">
        <v>99</v>
      </c>
      <c r="G38" s="19" t="s">
        <v>68</v>
      </c>
      <c r="H38" s="73">
        <f t="shared" si="3"/>
        <v>3</v>
      </c>
      <c r="I38" s="73">
        <f t="shared" si="4"/>
        <v>0</v>
      </c>
      <c r="J38" s="19">
        <f t="shared" si="5"/>
        <v>0</v>
      </c>
      <c r="K38" s="73" t="s">
        <v>55</v>
      </c>
      <c r="L38" s="73" t="s">
        <v>85</v>
      </c>
      <c r="M38" s="73" t="s">
        <v>257</v>
      </c>
      <c r="N38" s="73" t="s">
        <v>257</v>
      </c>
      <c r="O38" s="42"/>
      <c r="P38" s="42"/>
      <c r="Q38" s="74"/>
    </row>
    <row r="39" spans="1:17" ht="45" x14ac:dyDescent="0.25">
      <c r="A39" s="73" t="s">
        <v>136</v>
      </c>
      <c r="B39" s="74" t="s">
        <v>137</v>
      </c>
      <c r="C39" s="73">
        <v>3</v>
      </c>
      <c r="D39" s="19" t="s">
        <v>2482</v>
      </c>
      <c r="E39" s="108"/>
      <c r="F39" s="73" t="s">
        <v>99</v>
      </c>
      <c r="G39" s="19" t="s">
        <v>54</v>
      </c>
      <c r="H39" s="73">
        <f t="shared" si="3"/>
        <v>5</v>
      </c>
      <c r="I39" s="73">
        <f t="shared" si="4"/>
        <v>0</v>
      </c>
      <c r="J39" s="19">
        <f t="shared" si="5"/>
        <v>0</v>
      </c>
      <c r="K39" s="73" t="s">
        <v>55</v>
      </c>
      <c r="L39" s="73" t="s">
        <v>85</v>
      </c>
      <c r="M39" s="73" t="s">
        <v>2448</v>
      </c>
      <c r="N39" s="73" t="s">
        <v>2455</v>
      </c>
      <c r="O39" s="42"/>
      <c r="P39" s="42"/>
      <c r="Q39" s="74"/>
    </row>
    <row r="40" spans="1:17" ht="30" x14ac:dyDescent="0.25">
      <c r="A40" s="73" t="s">
        <v>138</v>
      </c>
      <c r="B40" s="74" t="s">
        <v>139</v>
      </c>
      <c r="C40" s="73">
        <v>3</v>
      </c>
      <c r="D40" s="19" t="s">
        <v>2482</v>
      </c>
      <c r="E40" s="108"/>
      <c r="F40" s="73" t="s">
        <v>96</v>
      </c>
      <c r="G40" s="19" t="s">
        <v>68</v>
      </c>
      <c r="H40" s="73">
        <f t="shared" si="3"/>
        <v>3</v>
      </c>
      <c r="I40" s="73">
        <f t="shared" si="4"/>
        <v>0</v>
      </c>
      <c r="J40" s="19">
        <f t="shared" si="5"/>
        <v>0</v>
      </c>
      <c r="K40" s="73" t="s">
        <v>55</v>
      </c>
      <c r="L40" s="73" t="s">
        <v>55</v>
      </c>
      <c r="M40" s="73" t="s">
        <v>1479</v>
      </c>
      <c r="N40" s="73" t="s">
        <v>1479</v>
      </c>
      <c r="O40" s="42"/>
      <c r="P40" s="42"/>
      <c r="Q40" s="74"/>
    </row>
    <row r="41" spans="1:17" ht="30" x14ac:dyDescent="0.25">
      <c r="A41" s="73" t="s">
        <v>140</v>
      </c>
      <c r="B41" s="74" t="s">
        <v>141</v>
      </c>
      <c r="C41" s="73">
        <v>3</v>
      </c>
      <c r="D41" s="19" t="s">
        <v>2482</v>
      </c>
      <c r="E41" s="108"/>
      <c r="F41" s="73" t="s">
        <v>99</v>
      </c>
      <c r="G41" s="19" t="s">
        <v>54</v>
      </c>
      <c r="H41" s="73">
        <f t="shared" si="3"/>
        <v>5</v>
      </c>
      <c r="I41" s="73">
        <f t="shared" si="4"/>
        <v>0</v>
      </c>
      <c r="J41" s="19">
        <f t="shared" si="5"/>
        <v>0</v>
      </c>
      <c r="K41" s="73" t="s">
        <v>55</v>
      </c>
      <c r="L41" s="73" t="s">
        <v>85</v>
      </c>
      <c r="M41" s="73" t="s">
        <v>55</v>
      </c>
      <c r="N41" s="73" t="s">
        <v>55</v>
      </c>
      <c r="O41" s="42"/>
      <c r="P41" s="42"/>
      <c r="Q41" s="74"/>
    </row>
    <row r="42" spans="1:17" ht="45" x14ac:dyDescent="0.25">
      <c r="A42" s="73" t="s">
        <v>142</v>
      </c>
      <c r="B42" s="74" t="s">
        <v>143</v>
      </c>
      <c r="C42" s="73">
        <v>3</v>
      </c>
      <c r="D42" s="19" t="s">
        <v>2482</v>
      </c>
      <c r="E42" s="108"/>
      <c r="F42" s="73" t="s">
        <v>99</v>
      </c>
      <c r="G42" s="19" t="s">
        <v>54</v>
      </c>
      <c r="H42" s="73">
        <f t="shared" si="3"/>
        <v>5</v>
      </c>
      <c r="I42" s="73">
        <f t="shared" si="4"/>
        <v>0</v>
      </c>
      <c r="J42" s="19">
        <f t="shared" si="5"/>
        <v>0</v>
      </c>
      <c r="K42" s="73" t="s">
        <v>55</v>
      </c>
      <c r="L42" s="73" t="s">
        <v>85</v>
      </c>
      <c r="M42" s="73" t="s">
        <v>2449</v>
      </c>
      <c r="N42" s="73" t="s">
        <v>2456</v>
      </c>
      <c r="O42" s="42"/>
      <c r="P42" s="42"/>
      <c r="Q42" s="74"/>
    </row>
    <row r="43" spans="1:17" ht="30" x14ac:dyDescent="0.25">
      <c r="A43" s="73" t="s">
        <v>144</v>
      </c>
      <c r="B43" s="74" t="s">
        <v>145</v>
      </c>
      <c r="C43" s="73">
        <v>4</v>
      </c>
      <c r="D43" s="19" t="s">
        <v>2482</v>
      </c>
      <c r="E43" s="108">
        <f>(COUNTIF(D43:D46,$D$180)+(COUNTIF(D43:D46,$D$183)*0.5))/(COUNTA(D43:D46)-COUNTIF(D43:D46,$D$182))</f>
        <v>0</v>
      </c>
      <c r="F43" s="73" t="s">
        <v>99</v>
      </c>
      <c r="G43" s="19" t="s">
        <v>146</v>
      </c>
      <c r="H43" s="73">
        <f t="shared" si="3"/>
        <v>1</v>
      </c>
      <c r="I43" s="73">
        <f t="shared" si="4"/>
        <v>0</v>
      </c>
      <c r="J43" s="19">
        <f t="shared" si="5"/>
        <v>0</v>
      </c>
      <c r="K43" s="73" t="s">
        <v>55</v>
      </c>
      <c r="L43" s="73" t="s">
        <v>85</v>
      </c>
      <c r="M43" s="73" t="s">
        <v>55</v>
      </c>
      <c r="N43" s="73" t="s">
        <v>55</v>
      </c>
      <c r="O43" s="42"/>
      <c r="P43" s="42"/>
      <c r="Q43" s="74"/>
    </row>
    <row r="44" spans="1:17" ht="30" x14ac:dyDescent="0.25">
      <c r="A44" s="73" t="s">
        <v>147</v>
      </c>
      <c r="B44" s="74" t="s">
        <v>148</v>
      </c>
      <c r="C44" s="73">
        <v>4</v>
      </c>
      <c r="D44" s="19" t="s">
        <v>2482</v>
      </c>
      <c r="E44" s="108"/>
      <c r="F44" s="73" t="s">
        <v>96</v>
      </c>
      <c r="G44" s="19" t="s">
        <v>68</v>
      </c>
      <c r="H44" s="73">
        <f t="shared" si="3"/>
        <v>3</v>
      </c>
      <c r="I44" s="73">
        <f t="shared" si="4"/>
        <v>0</v>
      </c>
      <c r="J44" s="19">
        <f t="shared" si="5"/>
        <v>0</v>
      </c>
      <c r="K44" s="73" t="s">
        <v>55</v>
      </c>
      <c r="L44" s="73" t="s">
        <v>55</v>
      </c>
      <c r="M44" s="73" t="s">
        <v>55</v>
      </c>
      <c r="N44" s="73" t="s">
        <v>55</v>
      </c>
      <c r="O44" s="42"/>
      <c r="P44" s="42"/>
      <c r="Q44" s="74"/>
    </row>
    <row r="45" spans="1:17" ht="30" x14ac:dyDescent="0.25">
      <c r="A45" s="73" t="s">
        <v>149</v>
      </c>
      <c r="B45" s="74" t="s">
        <v>150</v>
      </c>
      <c r="C45" s="73">
        <v>4</v>
      </c>
      <c r="D45" s="19" t="s">
        <v>2482</v>
      </c>
      <c r="E45" s="108"/>
      <c r="F45" s="73" t="s">
        <v>99</v>
      </c>
      <c r="G45" s="19" t="s">
        <v>68</v>
      </c>
      <c r="H45" s="73">
        <f t="shared" si="3"/>
        <v>3</v>
      </c>
      <c r="I45" s="73">
        <f t="shared" si="4"/>
        <v>0</v>
      </c>
      <c r="J45" s="19">
        <f t="shared" si="5"/>
        <v>0</v>
      </c>
      <c r="K45" s="73" t="s">
        <v>55</v>
      </c>
      <c r="L45" s="73" t="s">
        <v>85</v>
      </c>
      <c r="M45" s="73" t="s">
        <v>257</v>
      </c>
      <c r="N45" s="73" t="s">
        <v>257</v>
      </c>
      <c r="O45" s="42"/>
      <c r="P45" s="42"/>
      <c r="Q45" s="75"/>
    </row>
    <row r="46" spans="1:17" ht="30" x14ac:dyDescent="0.25">
      <c r="A46" s="73" t="s">
        <v>151</v>
      </c>
      <c r="B46" s="74" t="s">
        <v>152</v>
      </c>
      <c r="C46" s="73">
        <v>4</v>
      </c>
      <c r="D46" s="19" t="s">
        <v>2482</v>
      </c>
      <c r="E46" s="108"/>
      <c r="F46" s="73" t="s">
        <v>153</v>
      </c>
      <c r="G46" s="19" t="s">
        <v>68</v>
      </c>
      <c r="H46" s="73">
        <f t="shared" si="3"/>
        <v>3</v>
      </c>
      <c r="I46" s="73">
        <f t="shared" si="4"/>
        <v>0</v>
      </c>
      <c r="J46" s="19">
        <f t="shared" si="5"/>
        <v>0</v>
      </c>
      <c r="K46" s="73" t="s">
        <v>55</v>
      </c>
      <c r="L46" s="73" t="s">
        <v>55</v>
      </c>
      <c r="M46" s="73" t="s">
        <v>55</v>
      </c>
      <c r="N46" s="73" t="s">
        <v>55</v>
      </c>
      <c r="O46" s="42"/>
      <c r="P46" s="42"/>
      <c r="Q46" s="75"/>
    </row>
    <row r="47" spans="1:17" ht="30" x14ac:dyDescent="0.25">
      <c r="A47" s="38"/>
      <c r="B47" s="39"/>
      <c r="C47" s="40"/>
      <c r="D47" s="24"/>
      <c r="E47" s="24"/>
      <c r="F47" s="38"/>
      <c r="G47" s="25" t="s">
        <v>79</v>
      </c>
      <c r="H47" s="24">
        <f>SUM(H16:H46)</f>
        <v>129</v>
      </c>
      <c r="I47" s="24" t="s">
        <v>80</v>
      </c>
      <c r="J47" s="24">
        <f>SUM(J16:J46)</f>
        <v>0</v>
      </c>
      <c r="K47" s="41"/>
      <c r="L47" s="41"/>
      <c r="M47" s="41"/>
      <c r="N47" s="41"/>
      <c r="O47" s="41"/>
      <c r="P47" s="41"/>
      <c r="Q47" s="38"/>
    </row>
    <row r="48" spans="1:17" ht="14.65" customHeight="1" x14ac:dyDescent="0.25">
      <c r="A48" s="109" t="s">
        <v>154</v>
      </c>
      <c r="B48" s="109"/>
      <c r="C48" s="109"/>
      <c r="D48" s="109"/>
      <c r="E48" s="109"/>
      <c r="F48" s="109"/>
      <c r="G48" s="109"/>
      <c r="H48" s="109"/>
      <c r="I48" s="109"/>
      <c r="J48" s="109"/>
      <c r="K48" s="109"/>
      <c r="L48" s="109"/>
      <c r="M48" s="109"/>
      <c r="N48" s="109"/>
      <c r="O48" s="109"/>
      <c r="P48" s="109"/>
      <c r="Q48" s="109"/>
    </row>
    <row r="49" spans="1:17" ht="102" customHeight="1" x14ac:dyDescent="0.25">
      <c r="A49" s="73" t="s">
        <v>155</v>
      </c>
      <c r="B49" s="74" t="s">
        <v>156</v>
      </c>
      <c r="C49" s="73">
        <v>1</v>
      </c>
      <c r="D49" s="19" t="s">
        <v>2482</v>
      </c>
      <c r="E49" s="108">
        <f>(COUNTIF(D49:D59,$D$180)+(COUNTIF(D49:D59,$D$183)*0.5))/(COUNTA(D49:D59)-COUNTIF(D49:D59,$D$182))</f>
        <v>0</v>
      </c>
      <c r="F49" s="73" t="s">
        <v>157</v>
      </c>
      <c r="G49" s="73" t="s">
        <v>54</v>
      </c>
      <c r="H49" s="73">
        <f t="shared" ref="H49:H82" si="6">IF(D49="Не применимо",0,IF(G49="высокий",5,IF(G49="средний",3,IF(G49="низкий",1,""))))</f>
        <v>5</v>
      </c>
      <c r="I49" s="73">
        <f t="shared" ref="I49:I82" si="7">IF(D49="Не применимо",0,IF(D49="Выполняется",1,IF(D49="Частично выполняется",0.5,IF(D49="Не выполняется",0,IF(D49="Не заполнено",0,"")))))</f>
        <v>0</v>
      </c>
      <c r="J49" s="73">
        <f t="shared" ref="J49:J82" si="8">I49*H49</f>
        <v>0</v>
      </c>
      <c r="K49" s="73" t="s">
        <v>158</v>
      </c>
      <c r="L49" s="73" t="s">
        <v>55</v>
      </c>
      <c r="M49" s="73" t="s">
        <v>55</v>
      </c>
      <c r="N49" s="73" t="s">
        <v>55</v>
      </c>
      <c r="O49" s="42" t="s">
        <v>159</v>
      </c>
      <c r="P49" s="42"/>
      <c r="Q49" s="74"/>
    </row>
    <row r="50" spans="1:17" ht="30" x14ac:dyDescent="0.25">
      <c r="A50" s="73" t="s">
        <v>160</v>
      </c>
      <c r="B50" s="74" t="s">
        <v>161</v>
      </c>
      <c r="C50" s="73">
        <v>1</v>
      </c>
      <c r="D50" s="19" t="s">
        <v>2482</v>
      </c>
      <c r="E50" s="108"/>
      <c r="F50" s="73" t="s">
        <v>157</v>
      </c>
      <c r="G50" s="73" t="s">
        <v>54</v>
      </c>
      <c r="H50" s="73">
        <f t="shared" si="6"/>
        <v>5</v>
      </c>
      <c r="I50" s="73">
        <f t="shared" si="7"/>
        <v>0</v>
      </c>
      <c r="J50" s="73">
        <f t="shared" si="8"/>
        <v>0</v>
      </c>
      <c r="K50" s="73" t="s">
        <v>162</v>
      </c>
      <c r="L50" s="73" t="s">
        <v>55</v>
      </c>
      <c r="M50" s="73" t="s">
        <v>55</v>
      </c>
      <c r="N50" s="73" t="s">
        <v>55</v>
      </c>
      <c r="O50" s="73"/>
      <c r="P50" s="73"/>
      <c r="Q50" s="74" t="s">
        <v>163</v>
      </c>
    </row>
    <row r="51" spans="1:17" ht="45" x14ac:dyDescent="0.25">
      <c r="A51" s="73" t="s">
        <v>164</v>
      </c>
      <c r="B51" s="74" t="s">
        <v>165</v>
      </c>
      <c r="C51" s="73">
        <v>1</v>
      </c>
      <c r="D51" s="19" t="s">
        <v>2482</v>
      </c>
      <c r="E51" s="108"/>
      <c r="F51" s="73" t="s">
        <v>84</v>
      </c>
      <c r="G51" s="73" t="s">
        <v>54</v>
      </c>
      <c r="H51" s="73">
        <f t="shared" si="6"/>
        <v>5</v>
      </c>
      <c r="I51" s="73">
        <f t="shared" si="7"/>
        <v>0</v>
      </c>
      <c r="J51" s="73">
        <f t="shared" si="8"/>
        <v>0</v>
      </c>
      <c r="K51" s="73" t="s">
        <v>166</v>
      </c>
      <c r="L51" s="73" t="s">
        <v>55</v>
      </c>
      <c r="M51" s="73" t="s">
        <v>55</v>
      </c>
      <c r="N51" s="73" t="s">
        <v>55</v>
      </c>
      <c r="O51" s="73"/>
      <c r="P51" s="73"/>
      <c r="Q51" s="74"/>
    </row>
    <row r="52" spans="1:17" ht="30" x14ac:dyDescent="0.25">
      <c r="A52" s="73" t="s">
        <v>167</v>
      </c>
      <c r="B52" s="74" t="s">
        <v>168</v>
      </c>
      <c r="C52" s="73">
        <v>1</v>
      </c>
      <c r="D52" s="19" t="s">
        <v>2482</v>
      </c>
      <c r="E52" s="108"/>
      <c r="F52" s="73" t="s">
        <v>99</v>
      </c>
      <c r="G52" s="73" t="s">
        <v>54</v>
      </c>
      <c r="H52" s="73">
        <f t="shared" si="6"/>
        <v>5</v>
      </c>
      <c r="I52" s="73">
        <f t="shared" si="7"/>
        <v>0</v>
      </c>
      <c r="J52" s="73">
        <f t="shared" si="8"/>
        <v>0</v>
      </c>
      <c r="K52" s="73" t="s">
        <v>169</v>
      </c>
      <c r="L52" s="73" t="s">
        <v>55</v>
      </c>
      <c r="M52" s="73" t="s">
        <v>55</v>
      </c>
      <c r="N52" s="73" t="s">
        <v>55</v>
      </c>
      <c r="O52" s="73"/>
      <c r="P52" s="73"/>
      <c r="Q52" s="74"/>
    </row>
    <row r="53" spans="1:17" ht="30" x14ac:dyDescent="0.25">
      <c r="A53" s="73" t="s">
        <v>170</v>
      </c>
      <c r="B53" s="74" t="s">
        <v>171</v>
      </c>
      <c r="C53" s="73">
        <v>1</v>
      </c>
      <c r="D53" s="19" t="s">
        <v>2482</v>
      </c>
      <c r="E53" s="108"/>
      <c r="F53" s="73" t="s">
        <v>99</v>
      </c>
      <c r="G53" s="73" t="s">
        <v>54</v>
      </c>
      <c r="H53" s="73">
        <f t="shared" si="6"/>
        <v>5</v>
      </c>
      <c r="I53" s="73">
        <f t="shared" si="7"/>
        <v>0</v>
      </c>
      <c r="J53" s="73">
        <f t="shared" si="8"/>
        <v>0</v>
      </c>
      <c r="K53" s="73" t="s">
        <v>172</v>
      </c>
      <c r="L53" s="73" t="s">
        <v>173</v>
      </c>
      <c r="M53" s="73" t="s">
        <v>55</v>
      </c>
      <c r="N53" s="73" t="s">
        <v>55</v>
      </c>
      <c r="O53" s="73"/>
      <c r="P53" s="73"/>
      <c r="Q53" s="74"/>
    </row>
    <row r="54" spans="1:17" ht="30" x14ac:dyDescent="0.25">
      <c r="A54" s="73" t="s">
        <v>174</v>
      </c>
      <c r="B54" s="74" t="s">
        <v>175</v>
      </c>
      <c r="C54" s="73">
        <v>1</v>
      </c>
      <c r="D54" s="19" t="s">
        <v>2482</v>
      </c>
      <c r="E54" s="108"/>
      <c r="F54" s="73" t="s">
        <v>99</v>
      </c>
      <c r="G54" s="73" t="s">
        <v>54</v>
      </c>
      <c r="H54" s="73">
        <f t="shared" si="6"/>
        <v>5</v>
      </c>
      <c r="I54" s="73">
        <f t="shared" si="7"/>
        <v>0</v>
      </c>
      <c r="J54" s="73">
        <f t="shared" si="8"/>
        <v>0</v>
      </c>
      <c r="K54" s="73" t="s">
        <v>176</v>
      </c>
      <c r="L54" s="73" t="s">
        <v>55</v>
      </c>
      <c r="M54" s="73" t="s">
        <v>55</v>
      </c>
      <c r="N54" s="73" t="s">
        <v>55</v>
      </c>
      <c r="O54" s="73"/>
      <c r="P54" s="73"/>
      <c r="Q54" s="74" t="s">
        <v>177</v>
      </c>
    </row>
    <row r="55" spans="1:17" ht="30" x14ac:dyDescent="0.25">
      <c r="A55" s="73" t="s">
        <v>178</v>
      </c>
      <c r="B55" s="74" t="s">
        <v>179</v>
      </c>
      <c r="C55" s="73">
        <v>1</v>
      </c>
      <c r="D55" s="19" t="s">
        <v>2482</v>
      </c>
      <c r="E55" s="108"/>
      <c r="F55" s="73" t="s">
        <v>99</v>
      </c>
      <c r="G55" s="73" t="s">
        <v>54</v>
      </c>
      <c r="H55" s="73">
        <f t="shared" si="6"/>
        <v>5</v>
      </c>
      <c r="I55" s="73">
        <f t="shared" si="7"/>
        <v>0</v>
      </c>
      <c r="J55" s="73">
        <f t="shared" si="8"/>
        <v>0</v>
      </c>
      <c r="K55" s="73" t="s">
        <v>180</v>
      </c>
      <c r="L55" s="73" t="s">
        <v>55</v>
      </c>
      <c r="M55" s="73" t="s">
        <v>55</v>
      </c>
      <c r="N55" s="73" t="s">
        <v>55</v>
      </c>
      <c r="O55" s="73"/>
      <c r="P55" s="73"/>
      <c r="Q55" s="74"/>
    </row>
    <row r="56" spans="1:17" ht="30" x14ac:dyDescent="0.25">
      <c r="A56" s="73" t="s">
        <v>181</v>
      </c>
      <c r="B56" s="74" t="s">
        <v>182</v>
      </c>
      <c r="C56" s="73">
        <v>1</v>
      </c>
      <c r="D56" s="19" t="s">
        <v>2482</v>
      </c>
      <c r="E56" s="108"/>
      <c r="F56" s="73" t="s">
        <v>99</v>
      </c>
      <c r="G56" s="73" t="s">
        <v>54</v>
      </c>
      <c r="H56" s="73">
        <f t="shared" si="6"/>
        <v>5</v>
      </c>
      <c r="I56" s="73">
        <f t="shared" si="7"/>
        <v>0</v>
      </c>
      <c r="J56" s="73">
        <f t="shared" si="8"/>
        <v>0</v>
      </c>
      <c r="K56" s="73" t="s">
        <v>183</v>
      </c>
      <c r="L56" s="73" t="s">
        <v>55</v>
      </c>
      <c r="M56" s="73" t="s">
        <v>55</v>
      </c>
      <c r="N56" s="73" t="s">
        <v>55</v>
      </c>
      <c r="O56" s="73"/>
      <c r="P56" s="73"/>
      <c r="Q56" s="74"/>
    </row>
    <row r="57" spans="1:17" ht="30" x14ac:dyDescent="0.25">
      <c r="A57" s="73" t="s">
        <v>184</v>
      </c>
      <c r="B57" s="74" t="s">
        <v>185</v>
      </c>
      <c r="C57" s="73">
        <v>1</v>
      </c>
      <c r="D57" s="19" t="s">
        <v>2482</v>
      </c>
      <c r="E57" s="108"/>
      <c r="F57" s="73" t="s">
        <v>99</v>
      </c>
      <c r="G57" s="73" t="s">
        <v>54</v>
      </c>
      <c r="H57" s="73">
        <f t="shared" si="6"/>
        <v>5</v>
      </c>
      <c r="I57" s="73">
        <f t="shared" si="7"/>
        <v>0</v>
      </c>
      <c r="J57" s="73">
        <f t="shared" si="8"/>
        <v>0</v>
      </c>
      <c r="K57" s="73" t="s">
        <v>186</v>
      </c>
      <c r="L57" s="73" t="s">
        <v>55</v>
      </c>
      <c r="M57" s="73" t="s">
        <v>55</v>
      </c>
      <c r="N57" s="73" t="s">
        <v>55</v>
      </c>
      <c r="O57" s="73"/>
      <c r="P57" s="73"/>
      <c r="Q57" s="74"/>
    </row>
    <row r="58" spans="1:17" ht="30" x14ac:dyDescent="0.25">
      <c r="A58" s="73" t="s">
        <v>187</v>
      </c>
      <c r="B58" s="74" t="s">
        <v>188</v>
      </c>
      <c r="C58" s="73">
        <v>1</v>
      </c>
      <c r="D58" s="19" t="s">
        <v>2482</v>
      </c>
      <c r="E58" s="108"/>
      <c r="F58" s="73" t="s">
        <v>99</v>
      </c>
      <c r="G58" s="73" t="s">
        <v>54</v>
      </c>
      <c r="H58" s="73">
        <f t="shared" si="6"/>
        <v>5</v>
      </c>
      <c r="I58" s="73">
        <f t="shared" si="7"/>
        <v>0</v>
      </c>
      <c r="J58" s="73">
        <f t="shared" si="8"/>
        <v>0</v>
      </c>
      <c r="K58" s="73" t="s">
        <v>189</v>
      </c>
      <c r="L58" s="73" t="s">
        <v>55</v>
      </c>
      <c r="M58" s="73" t="s">
        <v>55</v>
      </c>
      <c r="N58" s="73" t="s">
        <v>55</v>
      </c>
      <c r="O58" s="73"/>
      <c r="P58" s="73"/>
      <c r="Q58" s="74"/>
    </row>
    <row r="59" spans="1:17" ht="30" x14ac:dyDescent="0.25">
      <c r="A59" s="73" t="s">
        <v>190</v>
      </c>
      <c r="B59" s="74" t="s">
        <v>191</v>
      </c>
      <c r="C59" s="73">
        <v>1</v>
      </c>
      <c r="D59" s="19" t="s">
        <v>2482</v>
      </c>
      <c r="E59" s="108"/>
      <c r="F59" s="73" t="s">
        <v>99</v>
      </c>
      <c r="G59" s="73" t="s">
        <v>68</v>
      </c>
      <c r="H59" s="73">
        <f t="shared" si="6"/>
        <v>3</v>
      </c>
      <c r="I59" s="73">
        <f t="shared" si="7"/>
        <v>0</v>
      </c>
      <c r="J59" s="73">
        <f t="shared" si="8"/>
        <v>0</v>
      </c>
      <c r="K59" s="73" t="s">
        <v>192</v>
      </c>
      <c r="L59" s="73" t="s">
        <v>55</v>
      </c>
      <c r="M59" s="73" t="s">
        <v>55</v>
      </c>
      <c r="N59" s="73" t="s">
        <v>55</v>
      </c>
      <c r="O59" s="73"/>
      <c r="P59" s="73"/>
      <c r="Q59" s="74"/>
    </row>
    <row r="60" spans="1:17" ht="30" x14ac:dyDescent="0.25">
      <c r="A60" s="73" t="s">
        <v>193</v>
      </c>
      <c r="B60" s="74" t="s">
        <v>194</v>
      </c>
      <c r="C60" s="73">
        <v>2</v>
      </c>
      <c r="D60" s="19" t="s">
        <v>2482</v>
      </c>
      <c r="E60" s="108">
        <f>(COUNTIF(D60:D72,$D$180)+(COUNTIF(D60:D72,$D$183)*0.5))/(COUNTA(D60:D72)-COUNTIF(D60:D72,$D$182))</f>
        <v>0</v>
      </c>
      <c r="F60" s="73" t="s">
        <v>84</v>
      </c>
      <c r="G60" s="73" t="s">
        <v>54</v>
      </c>
      <c r="H60" s="73">
        <f t="shared" si="6"/>
        <v>5</v>
      </c>
      <c r="I60" s="73">
        <f t="shared" si="7"/>
        <v>0</v>
      </c>
      <c r="J60" s="73">
        <f t="shared" si="8"/>
        <v>0</v>
      </c>
      <c r="K60" s="73" t="s">
        <v>195</v>
      </c>
      <c r="L60" s="73" t="s">
        <v>55</v>
      </c>
      <c r="M60" s="73" t="s">
        <v>55</v>
      </c>
      <c r="N60" s="73" t="s">
        <v>55</v>
      </c>
      <c r="O60" s="73"/>
      <c r="P60" s="73"/>
      <c r="Q60" s="75"/>
    </row>
    <row r="61" spans="1:17" ht="30" x14ac:dyDescent="0.25">
      <c r="A61" s="84" t="s">
        <v>196</v>
      </c>
      <c r="B61" s="74" t="s">
        <v>197</v>
      </c>
      <c r="C61" s="73">
        <v>2</v>
      </c>
      <c r="D61" s="19" t="s">
        <v>2482</v>
      </c>
      <c r="E61" s="108"/>
      <c r="F61" s="73" t="s">
        <v>90</v>
      </c>
      <c r="G61" s="73" t="s">
        <v>54</v>
      </c>
      <c r="H61" s="73">
        <f t="shared" si="6"/>
        <v>5</v>
      </c>
      <c r="I61" s="92">
        <f t="shared" si="7"/>
        <v>0</v>
      </c>
      <c r="J61" s="92">
        <f t="shared" si="8"/>
        <v>0</v>
      </c>
      <c r="K61" s="92" t="s">
        <v>55</v>
      </c>
      <c r="L61" s="92" t="s">
        <v>162</v>
      </c>
      <c r="M61" s="92" t="s">
        <v>55</v>
      </c>
      <c r="N61" s="92" t="s">
        <v>55</v>
      </c>
      <c r="O61" s="92"/>
      <c r="P61" s="73"/>
      <c r="Q61" s="74"/>
    </row>
    <row r="62" spans="1:17" ht="30" x14ac:dyDescent="0.25">
      <c r="A62" s="84" t="s">
        <v>198</v>
      </c>
      <c r="B62" s="74" t="s">
        <v>199</v>
      </c>
      <c r="C62" s="73">
        <v>2</v>
      </c>
      <c r="D62" s="19" t="s">
        <v>2482</v>
      </c>
      <c r="E62" s="108"/>
      <c r="F62" s="73" t="s">
        <v>84</v>
      </c>
      <c r="G62" s="73" t="s">
        <v>68</v>
      </c>
      <c r="H62" s="73">
        <f t="shared" si="6"/>
        <v>3</v>
      </c>
      <c r="I62" s="92">
        <f t="shared" si="7"/>
        <v>0</v>
      </c>
      <c r="J62" s="92">
        <f t="shared" si="8"/>
        <v>0</v>
      </c>
      <c r="K62" s="92" t="s">
        <v>195</v>
      </c>
      <c r="L62" s="92" t="s">
        <v>55</v>
      </c>
      <c r="M62" s="92" t="s">
        <v>55</v>
      </c>
      <c r="N62" s="92" t="s">
        <v>55</v>
      </c>
      <c r="O62" s="92"/>
      <c r="P62" s="73"/>
      <c r="Q62" s="74"/>
    </row>
    <row r="63" spans="1:17" ht="30" x14ac:dyDescent="0.25">
      <c r="A63" s="84" t="s">
        <v>200</v>
      </c>
      <c r="B63" s="74" t="s">
        <v>201</v>
      </c>
      <c r="C63" s="73">
        <v>2</v>
      </c>
      <c r="D63" s="19" t="s">
        <v>2482</v>
      </c>
      <c r="E63" s="108"/>
      <c r="F63" s="73" t="s">
        <v>99</v>
      </c>
      <c r="G63" s="73" t="s">
        <v>146</v>
      </c>
      <c r="H63" s="73">
        <f t="shared" si="6"/>
        <v>1</v>
      </c>
      <c r="I63" s="92">
        <f t="shared" si="7"/>
        <v>0</v>
      </c>
      <c r="J63" s="92">
        <f t="shared" si="8"/>
        <v>0</v>
      </c>
      <c r="K63" s="92" t="s">
        <v>202</v>
      </c>
      <c r="L63" s="92" t="s">
        <v>55</v>
      </c>
      <c r="M63" s="92" t="s">
        <v>55</v>
      </c>
      <c r="N63" s="92" t="s">
        <v>55</v>
      </c>
      <c r="O63" s="92"/>
      <c r="P63" s="73"/>
      <c r="Q63" s="74"/>
    </row>
    <row r="64" spans="1:17" ht="135" x14ac:dyDescent="0.25">
      <c r="A64" s="84" t="s">
        <v>203</v>
      </c>
      <c r="B64" s="74" t="s">
        <v>204</v>
      </c>
      <c r="C64" s="73">
        <v>2</v>
      </c>
      <c r="D64" s="19" t="s">
        <v>2482</v>
      </c>
      <c r="E64" s="108"/>
      <c r="F64" s="73" t="s">
        <v>99</v>
      </c>
      <c r="G64" s="73" t="s">
        <v>68</v>
      </c>
      <c r="H64" s="73">
        <f t="shared" si="6"/>
        <v>3</v>
      </c>
      <c r="I64" s="92">
        <f t="shared" si="7"/>
        <v>0</v>
      </c>
      <c r="J64" s="92">
        <f t="shared" si="8"/>
        <v>0</v>
      </c>
      <c r="K64" s="92" t="s">
        <v>205</v>
      </c>
      <c r="L64" s="92" t="s">
        <v>206</v>
      </c>
      <c r="M64" s="92" t="s">
        <v>55</v>
      </c>
      <c r="N64" s="92" t="s">
        <v>55</v>
      </c>
      <c r="O64" s="92"/>
      <c r="P64" s="73"/>
      <c r="Q64" s="74" t="s">
        <v>2542</v>
      </c>
    </row>
    <row r="65" spans="1:17" ht="120" x14ac:dyDescent="0.25">
      <c r="A65" s="84" t="s">
        <v>207</v>
      </c>
      <c r="B65" s="74" t="s">
        <v>208</v>
      </c>
      <c r="C65" s="73">
        <v>2</v>
      </c>
      <c r="D65" s="19" t="s">
        <v>2482</v>
      </c>
      <c r="E65" s="108"/>
      <c r="F65" s="73" t="s">
        <v>99</v>
      </c>
      <c r="G65" s="73" t="s">
        <v>68</v>
      </c>
      <c r="H65" s="73">
        <f t="shared" si="6"/>
        <v>3</v>
      </c>
      <c r="I65" s="92">
        <f t="shared" si="7"/>
        <v>0</v>
      </c>
      <c r="J65" s="92">
        <f t="shared" si="8"/>
        <v>0</v>
      </c>
      <c r="K65" s="92" t="s">
        <v>209</v>
      </c>
      <c r="L65" s="92" t="s">
        <v>206</v>
      </c>
      <c r="M65" s="92" t="s">
        <v>55</v>
      </c>
      <c r="N65" s="92" t="s">
        <v>55</v>
      </c>
      <c r="O65" s="92"/>
      <c r="P65" s="73"/>
      <c r="Q65" s="74" t="s">
        <v>2542</v>
      </c>
    </row>
    <row r="66" spans="1:17" ht="30" x14ac:dyDescent="0.25">
      <c r="A66" s="84" t="s">
        <v>210</v>
      </c>
      <c r="B66" s="74" t="s">
        <v>211</v>
      </c>
      <c r="C66" s="73">
        <v>2</v>
      </c>
      <c r="D66" s="19" t="s">
        <v>2482</v>
      </c>
      <c r="E66" s="108"/>
      <c r="F66" s="73" t="s">
        <v>90</v>
      </c>
      <c r="G66" s="73" t="s">
        <v>54</v>
      </c>
      <c r="H66" s="73">
        <f t="shared" si="6"/>
        <v>5</v>
      </c>
      <c r="I66" s="92">
        <f t="shared" si="7"/>
        <v>0</v>
      </c>
      <c r="J66" s="92">
        <f t="shared" si="8"/>
        <v>0</v>
      </c>
      <c r="K66" s="92" t="s">
        <v>55</v>
      </c>
      <c r="L66" s="92" t="s">
        <v>162</v>
      </c>
      <c r="M66" s="92" t="s">
        <v>55</v>
      </c>
      <c r="N66" s="92" t="s">
        <v>55</v>
      </c>
      <c r="O66" s="92"/>
      <c r="P66" s="73" t="s">
        <v>212</v>
      </c>
      <c r="Q66" s="74"/>
    </row>
    <row r="67" spans="1:17" ht="120" x14ac:dyDescent="0.25">
      <c r="A67" s="84" t="s">
        <v>213</v>
      </c>
      <c r="B67" s="74" t="s">
        <v>214</v>
      </c>
      <c r="C67" s="73">
        <v>2</v>
      </c>
      <c r="D67" s="19" t="s">
        <v>2482</v>
      </c>
      <c r="E67" s="108"/>
      <c r="F67" s="73" t="s">
        <v>122</v>
      </c>
      <c r="G67" s="73" t="s">
        <v>54</v>
      </c>
      <c r="H67" s="73">
        <f t="shared" si="6"/>
        <v>5</v>
      </c>
      <c r="I67" s="92">
        <f t="shared" si="7"/>
        <v>0</v>
      </c>
      <c r="J67" s="92">
        <f t="shared" si="8"/>
        <v>0</v>
      </c>
      <c r="K67" s="92" t="s">
        <v>215</v>
      </c>
      <c r="L67" s="92" t="s">
        <v>216</v>
      </c>
      <c r="M67" s="92" t="s">
        <v>55</v>
      </c>
      <c r="N67" s="92" t="s">
        <v>55</v>
      </c>
      <c r="O67" s="92" t="s">
        <v>217</v>
      </c>
      <c r="P67" s="73" t="s">
        <v>218</v>
      </c>
      <c r="Q67" s="74"/>
    </row>
    <row r="68" spans="1:17" ht="30" x14ac:dyDescent="0.25">
      <c r="A68" s="84" t="s">
        <v>219</v>
      </c>
      <c r="B68" s="74" t="s">
        <v>220</v>
      </c>
      <c r="C68" s="73">
        <v>2</v>
      </c>
      <c r="D68" s="19" t="s">
        <v>2482</v>
      </c>
      <c r="E68" s="108"/>
      <c r="F68" s="73" t="s">
        <v>122</v>
      </c>
      <c r="G68" s="19" t="s">
        <v>54</v>
      </c>
      <c r="H68" s="73">
        <f t="shared" si="6"/>
        <v>5</v>
      </c>
      <c r="I68" s="92">
        <f t="shared" si="7"/>
        <v>0</v>
      </c>
      <c r="J68" s="94">
        <f t="shared" si="8"/>
        <v>0</v>
      </c>
      <c r="K68" s="92" t="s">
        <v>221</v>
      </c>
      <c r="L68" s="92" t="s">
        <v>55</v>
      </c>
      <c r="M68" s="92" t="s">
        <v>55</v>
      </c>
      <c r="N68" s="92" t="s">
        <v>55</v>
      </c>
      <c r="O68" s="92"/>
      <c r="P68" s="73"/>
      <c r="Q68" s="74"/>
    </row>
    <row r="69" spans="1:17" ht="75" x14ac:dyDescent="0.25">
      <c r="A69" s="84" t="s">
        <v>222</v>
      </c>
      <c r="B69" s="74" t="s">
        <v>223</v>
      </c>
      <c r="C69" s="73">
        <v>2</v>
      </c>
      <c r="D69" s="19" t="s">
        <v>2482</v>
      </c>
      <c r="E69" s="108"/>
      <c r="F69" s="73" t="s">
        <v>157</v>
      </c>
      <c r="G69" s="73" t="s">
        <v>54</v>
      </c>
      <c r="H69" s="73">
        <f t="shared" si="6"/>
        <v>5</v>
      </c>
      <c r="I69" s="92">
        <f t="shared" si="7"/>
        <v>0</v>
      </c>
      <c r="J69" s="92">
        <f t="shared" si="8"/>
        <v>0</v>
      </c>
      <c r="K69" s="92" t="s">
        <v>224</v>
      </c>
      <c r="L69" s="92" t="s">
        <v>15</v>
      </c>
      <c r="M69" s="92" t="s">
        <v>55</v>
      </c>
      <c r="N69" s="92" t="s">
        <v>55</v>
      </c>
      <c r="O69" s="92" t="s">
        <v>225</v>
      </c>
      <c r="P69" s="73"/>
      <c r="Q69" s="74"/>
    </row>
    <row r="70" spans="1:17" ht="30" x14ac:dyDescent="0.25">
      <c r="A70" s="84" t="s">
        <v>226</v>
      </c>
      <c r="B70" s="74" t="s">
        <v>227</v>
      </c>
      <c r="C70" s="73">
        <v>2</v>
      </c>
      <c r="D70" s="19" t="s">
        <v>2482</v>
      </c>
      <c r="E70" s="108"/>
      <c r="F70" s="73" t="s">
        <v>157</v>
      </c>
      <c r="G70" s="73" t="s">
        <v>54</v>
      </c>
      <c r="H70" s="73">
        <f t="shared" si="6"/>
        <v>5</v>
      </c>
      <c r="I70" s="73">
        <f t="shared" si="7"/>
        <v>0</v>
      </c>
      <c r="J70" s="73">
        <f t="shared" si="8"/>
        <v>0</v>
      </c>
      <c r="K70" s="73" t="s">
        <v>228</v>
      </c>
      <c r="L70" s="73" t="s">
        <v>55</v>
      </c>
      <c r="M70" s="73" t="s">
        <v>55</v>
      </c>
      <c r="N70" s="73" t="s">
        <v>55</v>
      </c>
      <c r="O70" s="42" t="s">
        <v>159</v>
      </c>
      <c r="P70" s="42"/>
      <c r="Q70" s="74"/>
    </row>
    <row r="71" spans="1:17" ht="30" x14ac:dyDescent="0.25">
      <c r="A71" s="84" t="s">
        <v>229</v>
      </c>
      <c r="B71" s="74" t="s">
        <v>230</v>
      </c>
      <c r="C71" s="73">
        <v>2</v>
      </c>
      <c r="D71" s="19" t="s">
        <v>2482</v>
      </c>
      <c r="E71" s="108"/>
      <c r="F71" s="73" t="s">
        <v>90</v>
      </c>
      <c r="G71" s="73" t="s">
        <v>68</v>
      </c>
      <c r="H71" s="73">
        <f t="shared" si="6"/>
        <v>3</v>
      </c>
      <c r="I71" s="73">
        <f t="shared" si="7"/>
        <v>0</v>
      </c>
      <c r="J71" s="73">
        <f t="shared" si="8"/>
        <v>0</v>
      </c>
      <c r="K71" s="73" t="s">
        <v>55</v>
      </c>
      <c r="L71" s="73" t="s">
        <v>162</v>
      </c>
      <c r="M71" s="73" t="s">
        <v>55</v>
      </c>
      <c r="N71" s="73" t="s">
        <v>55</v>
      </c>
      <c r="O71" s="73"/>
      <c r="P71" s="73"/>
      <c r="Q71" s="74"/>
    </row>
    <row r="72" spans="1:17" ht="45" x14ac:dyDescent="0.25">
      <c r="A72" s="84" t="s">
        <v>231</v>
      </c>
      <c r="B72" s="74" t="s">
        <v>232</v>
      </c>
      <c r="C72" s="73">
        <v>2</v>
      </c>
      <c r="D72" s="19" t="s">
        <v>2482</v>
      </c>
      <c r="E72" s="108"/>
      <c r="F72" s="73" t="s">
        <v>233</v>
      </c>
      <c r="G72" s="73" t="s">
        <v>54</v>
      </c>
      <c r="H72" s="73">
        <f t="shared" si="6"/>
        <v>5</v>
      </c>
      <c r="I72" s="73">
        <f t="shared" si="7"/>
        <v>0</v>
      </c>
      <c r="J72" s="73">
        <f t="shared" si="8"/>
        <v>0</v>
      </c>
      <c r="K72" s="73" t="s">
        <v>234</v>
      </c>
      <c r="L72" s="73" t="s">
        <v>55</v>
      </c>
      <c r="M72" s="73" t="s">
        <v>55</v>
      </c>
      <c r="N72" s="73" t="s">
        <v>55</v>
      </c>
      <c r="O72" s="73"/>
      <c r="P72" s="73" t="s">
        <v>235</v>
      </c>
      <c r="Q72" s="74"/>
    </row>
    <row r="73" spans="1:17" ht="30" x14ac:dyDescent="0.25">
      <c r="A73" s="73" t="s">
        <v>236</v>
      </c>
      <c r="B73" s="74" t="s">
        <v>237</v>
      </c>
      <c r="C73" s="73">
        <v>3</v>
      </c>
      <c r="D73" s="19" t="s">
        <v>2482</v>
      </c>
      <c r="E73" s="110">
        <f>(COUNTIF(D73:D79,$D$180)+(COUNTIF(D73:D79,$D$183)*0.5))/(COUNTA(D73:D79)-COUNTIF(D73:D79,$D$182))</f>
        <v>0</v>
      </c>
      <c r="F73" s="73" t="s">
        <v>99</v>
      </c>
      <c r="G73" s="73" t="s">
        <v>146</v>
      </c>
      <c r="H73" s="73">
        <f t="shared" si="6"/>
        <v>1</v>
      </c>
      <c r="I73" s="73">
        <f t="shared" si="7"/>
        <v>0</v>
      </c>
      <c r="J73" s="73">
        <f t="shared" si="8"/>
        <v>0</v>
      </c>
      <c r="K73" s="73" t="s">
        <v>238</v>
      </c>
      <c r="L73" s="73" t="s">
        <v>55</v>
      </c>
      <c r="M73" s="73" t="s">
        <v>55</v>
      </c>
      <c r="N73" s="73" t="s">
        <v>55</v>
      </c>
      <c r="O73" s="73"/>
      <c r="P73" s="73"/>
      <c r="Q73" s="74"/>
    </row>
    <row r="74" spans="1:17" ht="30" x14ac:dyDescent="0.25">
      <c r="A74" s="73" t="s">
        <v>239</v>
      </c>
      <c r="B74" s="74" t="s">
        <v>240</v>
      </c>
      <c r="C74" s="73">
        <v>3</v>
      </c>
      <c r="D74" s="19" t="s">
        <v>2482</v>
      </c>
      <c r="E74" s="111"/>
      <c r="F74" s="73" t="s">
        <v>99</v>
      </c>
      <c r="G74" s="73" t="s">
        <v>68</v>
      </c>
      <c r="H74" s="73">
        <f t="shared" si="6"/>
        <v>3</v>
      </c>
      <c r="I74" s="73">
        <f t="shared" si="7"/>
        <v>0</v>
      </c>
      <c r="J74" s="92">
        <f t="shared" si="8"/>
        <v>0</v>
      </c>
      <c r="K74" s="92" t="s">
        <v>55</v>
      </c>
      <c r="L74" s="92" t="s">
        <v>55</v>
      </c>
      <c r="M74" s="92" t="s">
        <v>55</v>
      </c>
      <c r="N74" s="92" t="s">
        <v>55</v>
      </c>
      <c r="O74" s="73"/>
      <c r="P74" s="73"/>
      <c r="Q74" s="74"/>
    </row>
    <row r="75" spans="1:17" ht="30" x14ac:dyDescent="0.25">
      <c r="A75" s="73" t="s">
        <v>241</v>
      </c>
      <c r="B75" s="74" t="s">
        <v>242</v>
      </c>
      <c r="C75" s="73">
        <v>3</v>
      </c>
      <c r="D75" s="19" t="s">
        <v>2482</v>
      </c>
      <c r="E75" s="111"/>
      <c r="F75" s="73" t="s">
        <v>99</v>
      </c>
      <c r="G75" s="73" t="s">
        <v>68</v>
      </c>
      <c r="H75" s="73">
        <f t="shared" si="6"/>
        <v>3</v>
      </c>
      <c r="I75" s="73">
        <f t="shared" si="7"/>
        <v>0</v>
      </c>
      <c r="J75" s="92">
        <f t="shared" si="8"/>
        <v>0</v>
      </c>
      <c r="K75" s="92" t="s">
        <v>243</v>
      </c>
      <c r="L75" s="92" t="s">
        <v>55</v>
      </c>
      <c r="M75" s="92" t="s">
        <v>55</v>
      </c>
      <c r="N75" s="92" t="s">
        <v>55</v>
      </c>
      <c r="O75" s="73"/>
      <c r="P75" s="73"/>
      <c r="Q75" s="74"/>
    </row>
    <row r="76" spans="1:17" ht="69.599999999999994" customHeight="1" x14ac:dyDescent="0.25">
      <c r="A76" s="73" t="s">
        <v>244</v>
      </c>
      <c r="B76" s="74" t="s">
        <v>245</v>
      </c>
      <c r="C76" s="73">
        <v>3</v>
      </c>
      <c r="D76" s="19" t="s">
        <v>2482</v>
      </c>
      <c r="E76" s="111"/>
      <c r="F76" s="73" t="s">
        <v>99</v>
      </c>
      <c r="G76" s="73" t="s">
        <v>146</v>
      </c>
      <c r="H76" s="73">
        <f t="shared" si="6"/>
        <v>1</v>
      </c>
      <c r="I76" s="73">
        <f t="shared" si="7"/>
        <v>0</v>
      </c>
      <c r="J76" s="92">
        <f t="shared" si="8"/>
        <v>0</v>
      </c>
      <c r="K76" s="92" t="s">
        <v>246</v>
      </c>
      <c r="L76" s="92" t="s">
        <v>55</v>
      </c>
      <c r="M76" s="92" t="s">
        <v>55</v>
      </c>
      <c r="N76" s="92" t="s">
        <v>55</v>
      </c>
      <c r="O76" s="73"/>
      <c r="P76" s="73"/>
      <c r="Q76" s="74"/>
    </row>
    <row r="77" spans="1:17" ht="30" x14ac:dyDescent="0.25">
      <c r="A77" s="73" t="s">
        <v>247</v>
      </c>
      <c r="B77" s="74" t="s">
        <v>248</v>
      </c>
      <c r="C77" s="73">
        <v>3</v>
      </c>
      <c r="D77" s="19" t="s">
        <v>2482</v>
      </c>
      <c r="E77" s="111"/>
      <c r="F77" s="73" t="s">
        <v>93</v>
      </c>
      <c r="G77" s="73" t="s">
        <v>54</v>
      </c>
      <c r="H77" s="73">
        <f t="shared" si="6"/>
        <v>5</v>
      </c>
      <c r="I77" s="73">
        <f t="shared" si="7"/>
        <v>0</v>
      </c>
      <c r="J77" s="92">
        <f t="shared" si="8"/>
        <v>0</v>
      </c>
      <c r="K77" s="92" t="s">
        <v>55</v>
      </c>
      <c r="L77" s="92" t="s">
        <v>249</v>
      </c>
      <c r="M77" s="92" t="s">
        <v>55</v>
      </c>
      <c r="N77" s="92" t="s">
        <v>55</v>
      </c>
      <c r="O77" s="73"/>
      <c r="P77" s="73"/>
      <c r="Q77" s="74"/>
    </row>
    <row r="78" spans="1:17" ht="30" x14ac:dyDescent="0.25">
      <c r="A78" s="73" t="s">
        <v>250</v>
      </c>
      <c r="B78" s="74" t="s">
        <v>251</v>
      </c>
      <c r="C78" s="73">
        <v>3</v>
      </c>
      <c r="D78" s="19" t="s">
        <v>2482</v>
      </c>
      <c r="E78" s="111"/>
      <c r="F78" s="73" t="s">
        <v>252</v>
      </c>
      <c r="G78" s="73" t="s">
        <v>68</v>
      </c>
      <c r="H78" s="73">
        <f t="shared" si="6"/>
        <v>3</v>
      </c>
      <c r="I78" s="73">
        <f t="shared" si="7"/>
        <v>0</v>
      </c>
      <c r="J78" s="92">
        <f t="shared" si="8"/>
        <v>0</v>
      </c>
      <c r="K78" s="92" t="s">
        <v>253</v>
      </c>
      <c r="L78" s="92" t="s">
        <v>254</v>
      </c>
      <c r="M78" s="92" t="s">
        <v>55</v>
      </c>
      <c r="N78" s="92" t="s">
        <v>55</v>
      </c>
      <c r="O78" s="73"/>
      <c r="P78" s="73"/>
      <c r="Q78" s="74"/>
    </row>
    <row r="79" spans="1:17" ht="30" x14ac:dyDescent="0.25">
      <c r="A79" s="84" t="s">
        <v>2549</v>
      </c>
      <c r="B79" s="85" t="s">
        <v>2550</v>
      </c>
      <c r="C79" s="84">
        <v>3</v>
      </c>
      <c r="D79" s="19" t="s">
        <v>2482</v>
      </c>
      <c r="E79" s="112"/>
      <c r="F79" s="84" t="s">
        <v>99</v>
      </c>
      <c r="G79" s="84" t="s">
        <v>68</v>
      </c>
      <c r="H79" s="84">
        <f t="shared" si="6"/>
        <v>3</v>
      </c>
      <c r="I79" s="84">
        <f t="shared" ref="I79" si="9">IF(D79="Не применимо",0,IF(D79="Выполняется",1,IF(D79="Частично выполняется",0.5,IF(D79="Не выполняется",0,IF(D79="Не заполнено",0,"")))))</f>
        <v>0</v>
      </c>
      <c r="J79" s="92">
        <f t="shared" ref="J79" si="10">I79*H79</f>
        <v>0</v>
      </c>
      <c r="K79" s="92"/>
      <c r="L79" s="92"/>
      <c r="M79" s="92"/>
      <c r="N79" s="92"/>
      <c r="O79" s="84"/>
      <c r="P79" s="84"/>
      <c r="Q79" s="85"/>
    </row>
    <row r="80" spans="1:17" ht="30" x14ac:dyDescent="0.25">
      <c r="A80" s="73" t="s">
        <v>255</v>
      </c>
      <c r="B80" s="74" t="s">
        <v>256</v>
      </c>
      <c r="C80" s="73">
        <v>4</v>
      </c>
      <c r="D80" s="19" t="s">
        <v>2482</v>
      </c>
      <c r="E80" s="108">
        <f>(COUNTIF(D80:D82,$D$180)+(COUNTIF(D80:D82,$D$183)*0.5))/(COUNTA(D80:D82)-COUNTIF(D80:D82,$D$182))</f>
        <v>0</v>
      </c>
      <c r="F80" s="73" t="s">
        <v>99</v>
      </c>
      <c r="G80" s="73" t="s">
        <v>68</v>
      </c>
      <c r="H80" s="73">
        <f t="shared" si="6"/>
        <v>3</v>
      </c>
      <c r="I80" s="73">
        <f t="shared" si="7"/>
        <v>0</v>
      </c>
      <c r="J80" s="92">
        <f t="shared" si="8"/>
        <v>0</v>
      </c>
      <c r="K80" s="92" t="s">
        <v>257</v>
      </c>
      <c r="L80" s="92" t="s">
        <v>257</v>
      </c>
      <c r="M80" s="92" t="s">
        <v>55</v>
      </c>
      <c r="N80" s="92" t="s">
        <v>55</v>
      </c>
      <c r="O80" s="73"/>
      <c r="P80" s="73"/>
      <c r="Q80" s="74"/>
    </row>
    <row r="81" spans="1:18" ht="30" x14ac:dyDescent="0.25">
      <c r="A81" s="73" t="s">
        <v>258</v>
      </c>
      <c r="B81" s="74" t="s">
        <v>259</v>
      </c>
      <c r="C81" s="73">
        <v>4</v>
      </c>
      <c r="D81" s="19" t="s">
        <v>2482</v>
      </c>
      <c r="E81" s="108"/>
      <c r="F81" s="73" t="s">
        <v>153</v>
      </c>
      <c r="G81" s="73" t="s">
        <v>68</v>
      </c>
      <c r="H81" s="73">
        <f t="shared" si="6"/>
        <v>3</v>
      </c>
      <c r="I81" s="73">
        <f t="shared" si="7"/>
        <v>0</v>
      </c>
      <c r="J81" s="92">
        <f t="shared" si="8"/>
        <v>0</v>
      </c>
      <c r="K81" s="92" t="s">
        <v>55</v>
      </c>
      <c r="L81" s="92" t="s">
        <v>55</v>
      </c>
      <c r="M81" s="92" t="s">
        <v>55</v>
      </c>
      <c r="N81" s="92" t="s">
        <v>55</v>
      </c>
      <c r="O81" s="73"/>
      <c r="P81" s="73"/>
      <c r="Q81" s="74"/>
    </row>
    <row r="82" spans="1:18" ht="30" x14ac:dyDescent="0.25">
      <c r="A82" s="73" t="s">
        <v>260</v>
      </c>
      <c r="B82" s="74" t="s">
        <v>261</v>
      </c>
      <c r="C82" s="73">
        <v>4</v>
      </c>
      <c r="D82" s="19" t="s">
        <v>2482</v>
      </c>
      <c r="E82" s="108"/>
      <c r="F82" s="73" t="s">
        <v>99</v>
      </c>
      <c r="G82" s="73" t="s">
        <v>146</v>
      </c>
      <c r="H82" s="73">
        <f t="shared" si="6"/>
        <v>1</v>
      </c>
      <c r="I82" s="73">
        <f t="shared" si="7"/>
        <v>0</v>
      </c>
      <c r="J82" s="92">
        <f t="shared" si="8"/>
        <v>0</v>
      </c>
      <c r="K82" s="92" t="s">
        <v>55</v>
      </c>
      <c r="L82" s="92" t="s">
        <v>55</v>
      </c>
      <c r="M82" s="92" t="s">
        <v>55</v>
      </c>
      <c r="N82" s="92" t="s">
        <v>55</v>
      </c>
      <c r="O82" s="73"/>
      <c r="P82" s="73"/>
      <c r="Q82" s="74"/>
    </row>
    <row r="83" spans="1:18" ht="30" x14ac:dyDescent="0.25">
      <c r="A83" s="38"/>
      <c r="B83" s="39"/>
      <c r="C83" s="40"/>
      <c r="D83" s="24"/>
      <c r="E83" s="24"/>
      <c r="F83" s="38"/>
      <c r="G83" s="25" t="s">
        <v>79</v>
      </c>
      <c r="H83" s="24">
        <f>SUM(H49:H82)</f>
        <v>132</v>
      </c>
      <c r="I83" s="24" t="s">
        <v>80</v>
      </c>
      <c r="J83" s="24">
        <f>SUM(J49:J82)</f>
        <v>0</v>
      </c>
      <c r="K83" s="41"/>
      <c r="L83" s="41"/>
      <c r="M83" s="41"/>
      <c r="N83" s="41"/>
      <c r="O83" s="41"/>
      <c r="P83" s="41"/>
      <c r="Q83" s="38"/>
    </row>
    <row r="84" spans="1:18" ht="14.65" customHeight="1" x14ac:dyDescent="0.25">
      <c r="A84" s="109" t="s">
        <v>262</v>
      </c>
      <c r="B84" s="109"/>
      <c r="C84" s="109"/>
      <c r="D84" s="109"/>
      <c r="E84" s="109"/>
      <c r="F84" s="109"/>
      <c r="G84" s="109"/>
      <c r="H84" s="109"/>
      <c r="I84" s="109"/>
      <c r="J84" s="109"/>
      <c r="K84" s="109"/>
      <c r="L84" s="109"/>
      <c r="M84" s="109"/>
      <c r="N84" s="109"/>
      <c r="O84" s="109"/>
      <c r="P84" s="109"/>
      <c r="Q84" s="109"/>
    </row>
    <row r="85" spans="1:18" ht="30" x14ac:dyDescent="0.25">
      <c r="A85" s="73" t="s">
        <v>263</v>
      </c>
      <c r="B85" s="43" t="s">
        <v>264</v>
      </c>
      <c r="C85" s="73">
        <v>1</v>
      </c>
      <c r="D85" s="19" t="s">
        <v>2482</v>
      </c>
      <c r="E85" s="110">
        <f>(COUNTIF(D85:D91,$D$180)+(COUNTIF(D85:D91,$D$183)*0.5))/(COUNTA(D85:D91)-COUNTIF(D85:D91,$D$182))</f>
        <v>0</v>
      </c>
      <c r="F85" s="73" t="s">
        <v>93</v>
      </c>
      <c r="G85" s="73" t="s">
        <v>68</v>
      </c>
      <c r="H85" s="73">
        <f t="shared" ref="H85:H121" si="11">IF(D85="Не применимо",0,IF(G85="высокий",5,IF(G85="средний",3,IF(G85="низкий",1,""))))</f>
        <v>3</v>
      </c>
      <c r="I85" s="73">
        <f t="shared" ref="I85:I121" si="12">IF(D85="Не применимо",0,IF(D85="Выполняется",1,IF(D85="Частично выполняется",0.5,IF(D85="Не выполняется",0,IF(D85="Не заполнено",0,"")))))</f>
        <v>0</v>
      </c>
      <c r="J85" s="73">
        <f t="shared" ref="J85:J121" si="13">I85*H85</f>
        <v>0</v>
      </c>
      <c r="K85" s="73" t="s">
        <v>55</v>
      </c>
      <c r="L85" s="73" t="s">
        <v>6</v>
      </c>
      <c r="M85" s="73" t="s">
        <v>55</v>
      </c>
      <c r="N85" s="73" t="s">
        <v>55</v>
      </c>
      <c r="O85" s="73"/>
      <c r="P85" s="73"/>
      <c r="Q85" s="74"/>
      <c r="R85" s="2"/>
    </row>
    <row r="86" spans="1:18" ht="30" x14ac:dyDescent="0.25">
      <c r="A86" s="73" t="s">
        <v>265</v>
      </c>
      <c r="B86" s="74" t="s">
        <v>269</v>
      </c>
      <c r="C86" s="73">
        <v>1</v>
      </c>
      <c r="D86" s="19" t="s">
        <v>2482</v>
      </c>
      <c r="E86" s="111"/>
      <c r="F86" s="73" t="s">
        <v>99</v>
      </c>
      <c r="G86" s="73" t="s">
        <v>54</v>
      </c>
      <c r="H86" s="73">
        <f t="shared" si="11"/>
        <v>5</v>
      </c>
      <c r="I86" s="73">
        <f t="shared" si="12"/>
        <v>0</v>
      </c>
      <c r="J86" s="73">
        <f t="shared" si="13"/>
        <v>0</v>
      </c>
      <c r="K86" s="73" t="s">
        <v>55</v>
      </c>
      <c r="L86" s="73" t="s">
        <v>7</v>
      </c>
      <c r="M86" s="73" t="s">
        <v>55</v>
      </c>
      <c r="N86" s="73" t="s">
        <v>55</v>
      </c>
      <c r="O86" s="73"/>
      <c r="P86" s="73"/>
      <c r="Q86" s="74"/>
      <c r="R86" s="2"/>
    </row>
    <row r="87" spans="1:18" ht="30" x14ac:dyDescent="0.25">
      <c r="A87" s="84" t="s">
        <v>268</v>
      </c>
      <c r="B87" s="43" t="s">
        <v>271</v>
      </c>
      <c r="C87" s="73">
        <v>1</v>
      </c>
      <c r="D87" s="19" t="s">
        <v>2482</v>
      </c>
      <c r="E87" s="111"/>
      <c r="F87" s="73" t="s">
        <v>99</v>
      </c>
      <c r="G87" s="73" t="s">
        <v>54</v>
      </c>
      <c r="H87" s="73">
        <f t="shared" si="11"/>
        <v>5</v>
      </c>
      <c r="I87" s="73">
        <f t="shared" si="12"/>
        <v>0</v>
      </c>
      <c r="J87" s="73">
        <f t="shared" si="13"/>
        <v>0</v>
      </c>
      <c r="K87" s="73" t="s">
        <v>55</v>
      </c>
      <c r="L87" s="73" t="s">
        <v>272</v>
      </c>
      <c r="M87" s="73" t="s">
        <v>55</v>
      </c>
      <c r="N87" s="73" t="s">
        <v>55</v>
      </c>
      <c r="O87" s="73"/>
      <c r="P87" s="73"/>
      <c r="Q87" s="74"/>
    </row>
    <row r="88" spans="1:18" ht="30" x14ac:dyDescent="0.25">
      <c r="A88" s="84" t="s">
        <v>270</v>
      </c>
      <c r="B88" s="43" t="s">
        <v>274</v>
      </c>
      <c r="C88" s="73">
        <v>1</v>
      </c>
      <c r="D88" s="19" t="s">
        <v>2482</v>
      </c>
      <c r="E88" s="111"/>
      <c r="F88" s="73" t="s">
        <v>99</v>
      </c>
      <c r="G88" s="73" t="s">
        <v>68</v>
      </c>
      <c r="H88" s="73">
        <f t="shared" si="11"/>
        <v>3</v>
      </c>
      <c r="I88" s="73">
        <f t="shared" si="12"/>
        <v>0</v>
      </c>
      <c r="J88" s="73">
        <f t="shared" si="13"/>
        <v>0</v>
      </c>
      <c r="K88" s="73" t="s">
        <v>55</v>
      </c>
      <c r="L88" s="73" t="s">
        <v>9</v>
      </c>
      <c r="M88" s="73" t="s">
        <v>55</v>
      </c>
      <c r="N88" s="73" t="s">
        <v>55</v>
      </c>
      <c r="O88" s="73"/>
      <c r="P88" s="73"/>
      <c r="Q88" s="74"/>
      <c r="R88" s="2"/>
    </row>
    <row r="89" spans="1:18" ht="30" x14ac:dyDescent="0.25">
      <c r="A89" s="84" t="s">
        <v>273</v>
      </c>
      <c r="B89" s="43" t="s">
        <v>276</v>
      </c>
      <c r="C89" s="73">
        <v>1</v>
      </c>
      <c r="D89" s="19" t="s">
        <v>2482</v>
      </c>
      <c r="E89" s="111"/>
      <c r="F89" s="73" t="s">
        <v>99</v>
      </c>
      <c r="G89" s="73" t="s">
        <v>54</v>
      </c>
      <c r="H89" s="73">
        <f t="shared" si="11"/>
        <v>5</v>
      </c>
      <c r="I89" s="73">
        <f t="shared" si="12"/>
        <v>0</v>
      </c>
      <c r="J89" s="73">
        <f t="shared" si="13"/>
        <v>0</v>
      </c>
      <c r="K89" s="73" t="s">
        <v>55</v>
      </c>
      <c r="L89" s="73" t="s">
        <v>13</v>
      </c>
      <c r="M89" s="73" t="s">
        <v>55</v>
      </c>
      <c r="N89" s="73" t="s">
        <v>55</v>
      </c>
      <c r="O89" s="42" t="s">
        <v>277</v>
      </c>
      <c r="P89" s="42"/>
      <c r="Q89" s="75"/>
      <c r="R89" s="2"/>
    </row>
    <row r="90" spans="1:18" ht="30" x14ac:dyDescent="0.25">
      <c r="A90" s="84" t="s">
        <v>275</v>
      </c>
      <c r="B90" s="43" t="s">
        <v>279</v>
      </c>
      <c r="C90" s="73">
        <v>1</v>
      </c>
      <c r="D90" s="19" t="s">
        <v>2482</v>
      </c>
      <c r="E90" s="111"/>
      <c r="F90" s="73" t="s">
        <v>99</v>
      </c>
      <c r="G90" s="73" t="s">
        <v>68</v>
      </c>
      <c r="H90" s="73">
        <f t="shared" si="11"/>
        <v>3</v>
      </c>
      <c r="I90" s="73">
        <f t="shared" si="12"/>
        <v>0</v>
      </c>
      <c r="J90" s="73">
        <f t="shared" si="13"/>
        <v>0</v>
      </c>
      <c r="K90" s="73" t="s">
        <v>55</v>
      </c>
      <c r="L90" s="73" t="s">
        <v>280</v>
      </c>
      <c r="M90" s="73" t="s">
        <v>55</v>
      </c>
      <c r="N90" s="73" t="s">
        <v>55</v>
      </c>
      <c r="O90" s="73"/>
      <c r="P90" s="73"/>
      <c r="Q90" s="74"/>
      <c r="R90" s="2"/>
    </row>
    <row r="91" spans="1:18" ht="30" x14ac:dyDescent="0.25">
      <c r="A91" s="84" t="s">
        <v>278</v>
      </c>
      <c r="B91" s="74" t="s">
        <v>293</v>
      </c>
      <c r="C91" s="73">
        <v>2</v>
      </c>
      <c r="D91" s="19" t="s">
        <v>2482</v>
      </c>
      <c r="E91" s="112"/>
      <c r="F91" s="73" t="s">
        <v>99</v>
      </c>
      <c r="G91" s="73" t="s">
        <v>146</v>
      </c>
      <c r="H91" s="73">
        <f>IF(D91="Не применимо",0,IF(G91="высокий",5,IF(G91="средний",3,IF(G91="низкий",1,""))))</f>
        <v>1</v>
      </c>
      <c r="I91" s="73">
        <f>IF(D91="Не применимо",0,IF(D91="Выполняется",1,IF(D91="Частично выполняется",0.5,IF(D91="Не выполняется",0,IF(D91="Не заполнено",0,"")))))</f>
        <v>0</v>
      </c>
      <c r="J91" s="73">
        <f>I91*H91</f>
        <v>0</v>
      </c>
      <c r="K91" s="73" t="s">
        <v>55</v>
      </c>
      <c r="L91" s="73" t="s">
        <v>11</v>
      </c>
      <c r="M91" s="73" t="s">
        <v>55</v>
      </c>
      <c r="N91" s="73" t="s">
        <v>55</v>
      </c>
      <c r="O91" s="42" t="s">
        <v>294</v>
      </c>
      <c r="P91" s="42"/>
      <c r="Q91" s="74"/>
      <c r="R91" s="2"/>
    </row>
    <row r="92" spans="1:18" ht="30" x14ac:dyDescent="0.25">
      <c r="A92" s="73" t="s">
        <v>284</v>
      </c>
      <c r="B92" s="74" t="s">
        <v>285</v>
      </c>
      <c r="C92" s="73">
        <v>2</v>
      </c>
      <c r="D92" s="19" t="s">
        <v>2482</v>
      </c>
      <c r="E92" s="110">
        <f>(COUNTIF(D92:D105,$D$180)+(COUNTIF(D92:D105,$D$183)*0.5))/(COUNTA(D92:D105)-COUNTIF(D92:D105,$D$182))</f>
        <v>0</v>
      </c>
      <c r="F92" s="73" t="s">
        <v>122</v>
      </c>
      <c r="G92" s="73" t="s">
        <v>54</v>
      </c>
      <c r="H92" s="73">
        <f t="shared" si="11"/>
        <v>5</v>
      </c>
      <c r="I92" s="73">
        <f t="shared" si="12"/>
        <v>0</v>
      </c>
      <c r="J92" s="73">
        <f t="shared" si="13"/>
        <v>0</v>
      </c>
      <c r="K92" s="73" t="s">
        <v>55</v>
      </c>
      <c r="L92" s="73" t="s">
        <v>286</v>
      </c>
      <c r="M92" s="73" t="s">
        <v>55</v>
      </c>
      <c r="N92" s="73" t="s">
        <v>55</v>
      </c>
      <c r="O92" s="73"/>
      <c r="P92" s="73"/>
      <c r="Q92" s="75"/>
      <c r="R92" s="2"/>
    </row>
    <row r="93" spans="1:18" ht="240" x14ac:dyDescent="0.25">
      <c r="A93" s="73" t="s">
        <v>287</v>
      </c>
      <c r="B93" s="74" t="s">
        <v>288</v>
      </c>
      <c r="C93" s="73">
        <v>2</v>
      </c>
      <c r="D93" s="19" t="s">
        <v>2482</v>
      </c>
      <c r="E93" s="111"/>
      <c r="F93" s="73" t="s">
        <v>93</v>
      </c>
      <c r="G93" s="73" t="s">
        <v>54</v>
      </c>
      <c r="H93" s="73">
        <f t="shared" si="11"/>
        <v>5</v>
      </c>
      <c r="I93" s="73">
        <f t="shared" si="12"/>
        <v>0</v>
      </c>
      <c r="J93" s="73">
        <f t="shared" si="13"/>
        <v>0</v>
      </c>
      <c r="K93" s="92" t="s">
        <v>55</v>
      </c>
      <c r="L93" s="92" t="s">
        <v>289</v>
      </c>
      <c r="M93" s="92" t="s">
        <v>55</v>
      </c>
      <c r="N93" s="92" t="s">
        <v>55</v>
      </c>
      <c r="O93" s="93" t="s">
        <v>290</v>
      </c>
      <c r="P93" s="42"/>
      <c r="Q93" s="49" t="s">
        <v>291</v>
      </c>
      <c r="R93" s="2"/>
    </row>
    <row r="94" spans="1:18" ht="30" x14ac:dyDescent="0.25">
      <c r="A94" s="84" t="s">
        <v>292</v>
      </c>
      <c r="B94" s="74" t="s">
        <v>296</v>
      </c>
      <c r="C94" s="73">
        <v>2</v>
      </c>
      <c r="D94" s="19" t="s">
        <v>2482</v>
      </c>
      <c r="E94" s="111"/>
      <c r="F94" s="73" t="s">
        <v>99</v>
      </c>
      <c r="G94" s="73" t="s">
        <v>68</v>
      </c>
      <c r="H94" s="73">
        <f t="shared" si="11"/>
        <v>3</v>
      </c>
      <c r="I94" s="73">
        <f t="shared" si="12"/>
        <v>0</v>
      </c>
      <c r="J94" s="73">
        <f t="shared" si="13"/>
        <v>0</v>
      </c>
      <c r="K94" s="92" t="s">
        <v>55</v>
      </c>
      <c r="L94" s="92" t="s">
        <v>297</v>
      </c>
      <c r="M94" s="92" t="s">
        <v>55</v>
      </c>
      <c r="N94" s="92" t="s">
        <v>55</v>
      </c>
      <c r="O94" s="92"/>
      <c r="P94" s="73"/>
      <c r="Q94" s="74" t="s">
        <v>298</v>
      </c>
      <c r="R94" s="2"/>
    </row>
    <row r="95" spans="1:18" ht="120" x14ac:dyDescent="0.25">
      <c r="A95" s="84" t="s">
        <v>295</v>
      </c>
      <c r="B95" s="74" t="s">
        <v>208</v>
      </c>
      <c r="C95" s="73">
        <v>2</v>
      </c>
      <c r="D95" s="19" t="s">
        <v>2482</v>
      </c>
      <c r="E95" s="111"/>
      <c r="F95" s="73" t="s">
        <v>99</v>
      </c>
      <c r="G95" s="73" t="s">
        <v>68</v>
      </c>
      <c r="H95" s="73">
        <f t="shared" si="11"/>
        <v>3</v>
      </c>
      <c r="I95" s="73">
        <f t="shared" si="12"/>
        <v>0</v>
      </c>
      <c r="J95" s="73">
        <f t="shared" si="13"/>
        <v>0</v>
      </c>
      <c r="K95" s="92" t="s">
        <v>55</v>
      </c>
      <c r="L95" s="92" t="s">
        <v>206</v>
      </c>
      <c r="M95" s="92" t="s">
        <v>55</v>
      </c>
      <c r="N95" s="92" t="s">
        <v>55</v>
      </c>
      <c r="O95" s="92"/>
      <c r="P95" s="73"/>
      <c r="Q95" s="74"/>
      <c r="R95" s="2"/>
    </row>
    <row r="96" spans="1:18" ht="30" x14ac:dyDescent="0.25">
      <c r="A96" s="84" t="s">
        <v>299</v>
      </c>
      <c r="B96" s="74" t="s">
        <v>211</v>
      </c>
      <c r="C96" s="73">
        <v>2</v>
      </c>
      <c r="D96" s="19" t="s">
        <v>2482</v>
      </c>
      <c r="E96" s="111"/>
      <c r="F96" s="73" t="s">
        <v>90</v>
      </c>
      <c r="G96" s="73" t="s">
        <v>54</v>
      </c>
      <c r="H96" s="73">
        <f t="shared" si="11"/>
        <v>5</v>
      </c>
      <c r="I96" s="73">
        <f t="shared" si="12"/>
        <v>0</v>
      </c>
      <c r="J96" s="73">
        <f t="shared" si="13"/>
        <v>0</v>
      </c>
      <c r="K96" s="92" t="s">
        <v>55</v>
      </c>
      <c r="L96" s="92" t="s">
        <v>162</v>
      </c>
      <c r="M96" s="92" t="s">
        <v>55</v>
      </c>
      <c r="N96" s="92" t="s">
        <v>55</v>
      </c>
      <c r="O96" s="92"/>
      <c r="P96" s="73" t="s">
        <v>212</v>
      </c>
      <c r="Q96" s="74"/>
      <c r="R96" s="2"/>
    </row>
    <row r="97" spans="1:18" ht="30" x14ac:dyDescent="0.25">
      <c r="A97" s="84" t="s">
        <v>300</v>
      </c>
      <c r="B97" s="74" t="s">
        <v>220</v>
      </c>
      <c r="C97" s="73">
        <v>2</v>
      </c>
      <c r="D97" s="19" t="s">
        <v>2482</v>
      </c>
      <c r="E97" s="111"/>
      <c r="F97" s="73" t="s">
        <v>122</v>
      </c>
      <c r="G97" s="19" t="s">
        <v>54</v>
      </c>
      <c r="H97" s="73">
        <f t="shared" si="11"/>
        <v>5</v>
      </c>
      <c r="I97" s="73">
        <f t="shared" si="12"/>
        <v>0</v>
      </c>
      <c r="J97" s="19">
        <f t="shared" si="13"/>
        <v>0</v>
      </c>
      <c r="K97" s="92" t="s">
        <v>55</v>
      </c>
      <c r="L97" s="92" t="s">
        <v>55</v>
      </c>
      <c r="M97" s="92" t="s">
        <v>55</v>
      </c>
      <c r="N97" s="92" t="s">
        <v>55</v>
      </c>
      <c r="O97" s="92"/>
      <c r="P97" s="73"/>
      <c r="Q97" s="74"/>
      <c r="R97" s="2"/>
    </row>
    <row r="98" spans="1:18" ht="30" x14ac:dyDescent="0.25">
      <c r="A98" s="84" t="s">
        <v>301</v>
      </c>
      <c r="B98" s="74" t="s">
        <v>303</v>
      </c>
      <c r="C98" s="73">
        <v>2</v>
      </c>
      <c r="D98" s="19" t="s">
        <v>2482</v>
      </c>
      <c r="E98" s="111"/>
      <c r="F98" s="73" t="s">
        <v>99</v>
      </c>
      <c r="G98" s="73" t="s">
        <v>54</v>
      </c>
      <c r="H98" s="73">
        <f t="shared" si="11"/>
        <v>5</v>
      </c>
      <c r="I98" s="73">
        <f t="shared" si="12"/>
        <v>0</v>
      </c>
      <c r="J98" s="73">
        <f t="shared" si="13"/>
        <v>0</v>
      </c>
      <c r="K98" s="92" t="s">
        <v>55</v>
      </c>
      <c r="L98" s="92" t="s">
        <v>304</v>
      </c>
      <c r="M98" s="92" t="s">
        <v>55</v>
      </c>
      <c r="N98" s="92" t="s">
        <v>55</v>
      </c>
      <c r="O98" s="92"/>
      <c r="P98" s="73"/>
      <c r="Q98" s="74"/>
    </row>
    <row r="99" spans="1:18" ht="30" x14ac:dyDescent="0.25">
      <c r="A99" s="84" t="s">
        <v>302</v>
      </c>
      <c r="B99" s="74" t="s">
        <v>306</v>
      </c>
      <c r="C99" s="73">
        <v>2</v>
      </c>
      <c r="D99" s="19" t="s">
        <v>2482</v>
      </c>
      <c r="E99" s="111"/>
      <c r="F99" s="73" t="s">
        <v>90</v>
      </c>
      <c r="G99" s="73" t="s">
        <v>68</v>
      </c>
      <c r="H99" s="73">
        <f t="shared" si="11"/>
        <v>3</v>
      </c>
      <c r="I99" s="73">
        <f t="shared" si="12"/>
        <v>0</v>
      </c>
      <c r="J99" s="73">
        <f t="shared" si="13"/>
        <v>0</v>
      </c>
      <c r="K99" s="92" t="s">
        <v>55</v>
      </c>
      <c r="L99" s="92" t="s">
        <v>162</v>
      </c>
      <c r="M99" s="92" t="s">
        <v>55</v>
      </c>
      <c r="N99" s="92" t="s">
        <v>55</v>
      </c>
      <c r="O99" s="92"/>
      <c r="P99" s="73"/>
      <c r="Q99" s="74"/>
      <c r="R99" s="2"/>
    </row>
    <row r="100" spans="1:18" ht="45" x14ac:dyDescent="0.25">
      <c r="A100" s="84" t="s">
        <v>305</v>
      </c>
      <c r="B100" s="74" t="s">
        <v>308</v>
      </c>
      <c r="C100" s="73">
        <v>2</v>
      </c>
      <c r="D100" s="19" t="s">
        <v>2482</v>
      </c>
      <c r="E100" s="111"/>
      <c r="F100" s="73" t="s">
        <v>99</v>
      </c>
      <c r="G100" s="73" t="s">
        <v>54</v>
      </c>
      <c r="H100" s="73">
        <f t="shared" si="11"/>
        <v>5</v>
      </c>
      <c r="I100" s="73">
        <f t="shared" si="12"/>
        <v>0</v>
      </c>
      <c r="J100" s="73">
        <f t="shared" si="13"/>
        <v>0</v>
      </c>
      <c r="K100" s="92" t="s">
        <v>55</v>
      </c>
      <c r="L100" s="92" t="s">
        <v>55</v>
      </c>
      <c r="M100" s="92" t="s">
        <v>55</v>
      </c>
      <c r="N100" s="92" t="s">
        <v>55</v>
      </c>
      <c r="O100" s="93" t="s">
        <v>294</v>
      </c>
      <c r="P100" s="42"/>
      <c r="Q100" s="74" t="s">
        <v>2543</v>
      </c>
      <c r="R100" s="2"/>
    </row>
    <row r="101" spans="1:18" ht="30" x14ac:dyDescent="0.25">
      <c r="A101" s="84" t="s">
        <v>307</v>
      </c>
      <c r="B101" s="74" t="s">
        <v>310</v>
      </c>
      <c r="C101" s="73">
        <v>2</v>
      </c>
      <c r="D101" s="19" t="s">
        <v>2482</v>
      </c>
      <c r="E101" s="111"/>
      <c r="F101" s="73" t="s">
        <v>99</v>
      </c>
      <c r="G101" s="73" t="s">
        <v>54</v>
      </c>
      <c r="H101" s="73">
        <f t="shared" si="11"/>
        <v>5</v>
      </c>
      <c r="I101" s="73">
        <f t="shared" si="12"/>
        <v>0</v>
      </c>
      <c r="J101" s="73">
        <f t="shared" si="13"/>
        <v>0</v>
      </c>
      <c r="K101" s="92" t="s">
        <v>55</v>
      </c>
      <c r="L101" s="92" t="s">
        <v>55</v>
      </c>
      <c r="M101" s="92" t="s">
        <v>55</v>
      </c>
      <c r="N101" s="92" t="s">
        <v>55</v>
      </c>
      <c r="O101" s="92"/>
      <c r="P101" s="73"/>
      <c r="Q101" s="74"/>
      <c r="R101" s="2"/>
    </row>
    <row r="102" spans="1:18" ht="30" x14ac:dyDescent="0.25">
      <c r="A102" s="84" t="s">
        <v>309</v>
      </c>
      <c r="B102" s="74" t="s">
        <v>314</v>
      </c>
      <c r="C102" s="73">
        <v>2</v>
      </c>
      <c r="D102" s="19" t="s">
        <v>2482</v>
      </c>
      <c r="E102" s="111"/>
      <c r="F102" s="73" t="s">
        <v>99</v>
      </c>
      <c r="G102" s="73" t="s">
        <v>54</v>
      </c>
      <c r="H102" s="73">
        <f t="shared" si="11"/>
        <v>5</v>
      </c>
      <c r="I102" s="73">
        <f t="shared" si="12"/>
        <v>0</v>
      </c>
      <c r="J102" s="73">
        <f t="shared" si="13"/>
        <v>0</v>
      </c>
      <c r="K102" s="92" t="s">
        <v>55</v>
      </c>
      <c r="L102" s="93" t="s">
        <v>315</v>
      </c>
      <c r="M102" s="92" t="s">
        <v>55</v>
      </c>
      <c r="N102" s="92" t="s">
        <v>55</v>
      </c>
      <c r="O102" s="92"/>
      <c r="P102" s="73"/>
      <c r="Q102" s="74" t="s">
        <v>316</v>
      </c>
      <c r="R102" s="2"/>
    </row>
    <row r="103" spans="1:18" ht="60" x14ac:dyDescent="0.25">
      <c r="A103" s="84" t="s">
        <v>311</v>
      </c>
      <c r="B103" s="74" t="s">
        <v>318</v>
      </c>
      <c r="C103" s="73">
        <v>2</v>
      </c>
      <c r="D103" s="19" t="s">
        <v>2482</v>
      </c>
      <c r="E103" s="111"/>
      <c r="F103" s="73" t="s">
        <v>99</v>
      </c>
      <c r="G103" s="73" t="s">
        <v>54</v>
      </c>
      <c r="H103" s="73">
        <f t="shared" si="11"/>
        <v>5</v>
      </c>
      <c r="I103" s="73">
        <f t="shared" si="12"/>
        <v>0</v>
      </c>
      <c r="J103" s="73">
        <f t="shared" si="13"/>
        <v>0</v>
      </c>
      <c r="K103" s="92" t="s">
        <v>55</v>
      </c>
      <c r="L103" s="93" t="s">
        <v>173</v>
      </c>
      <c r="M103" s="92" t="s">
        <v>55</v>
      </c>
      <c r="N103" s="92" t="s">
        <v>55</v>
      </c>
      <c r="O103" s="92"/>
      <c r="P103" s="73"/>
      <c r="Q103" s="74" t="s">
        <v>319</v>
      </c>
      <c r="R103" s="2"/>
    </row>
    <row r="104" spans="1:18" ht="60" x14ac:dyDescent="0.25">
      <c r="A104" s="84" t="s">
        <v>313</v>
      </c>
      <c r="B104" s="43" t="s">
        <v>2552</v>
      </c>
      <c r="C104" s="73">
        <v>2</v>
      </c>
      <c r="D104" s="19" t="s">
        <v>2482</v>
      </c>
      <c r="E104" s="111"/>
      <c r="F104" s="73" t="s">
        <v>99</v>
      </c>
      <c r="G104" s="73" t="s">
        <v>68</v>
      </c>
      <c r="H104" s="73">
        <f>IF(D104="Не применимо",0,IF(G104="высокий",5,IF(G104="средний",3,IF(G104="низкий",1,""))))</f>
        <v>3</v>
      </c>
      <c r="I104" s="73">
        <f t="shared" si="12"/>
        <v>0</v>
      </c>
      <c r="J104" s="73">
        <f>I104*H104</f>
        <v>0</v>
      </c>
      <c r="K104" s="73" t="s">
        <v>55</v>
      </c>
      <c r="L104" s="42" t="s">
        <v>320</v>
      </c>
      <c r="M104" s="73" t="s">
        <v>55</v>
      </c>
      <c r="N104" s="73" t="s">
        <v>55</v>
      </c>
      <c r="O104" s="73"/>
      <c r="P104" s="73"/>
      <c r="Q104" s="74" t="s">
        <v>321</v>
      </c>
      <c r="R104" s="2"/>
    </row>
    <row r="105" spans="1:18" ht="30" x14ac:dyDescent="0.25">
      <c r="A105" s="84" t="s">
        <v>317</v>
      </c>
      <c r="B105" s="43" t="s">
        <v>281</v>
      </c>
      <c r="C105" s="73">
        <v>2</v>
      </c>
      <c r="D105" s="19" t="s">
        <v>2482</v>
      </c>
      <c r="E105" s="112"/>
      <c r="F105" s="73" t="s">
        <v>99</v>
      </c>
      <c r="G105" s="73" t="s">
        <v>54</v>
      </c>
      <c r="H105" s="73">
        <f>IF(D105="Не применимо",0,IF(G105="высокий",5,IF(G105="средний",3,IF(G105="низкий",1,""))))</f>
        <v>5</v>
      </c>
      <c r="I105" s="73">
        <f>IF(D105="Не применимо",0,IF(D105="Выполняется",1,IF(D105="Частично выполняется",0.5,IF(D105="Не выполняется",0,IF(D105="Не заполнено",0,"")))))</f>
        <v>0</v>
      </c>
      <c r="J105" s="73">
        <f>I105*H105</f>
        <v>0</v>
      </c>
      <c r="K105" s="73" t="s">
        <v>55</v>
      </c>
      <c r="L105" s="42" t="s">
        <v>282</v>
      </c>
      <c r="M105" s="73" t="s">
        <v>55</v>
      </c>
      <c r="N105" s="73" t="s">
        <v>55</v>
      </c>
      <c r="O105" s="73"/>
      <c r="P105" s="73"/>
      <c r="Q105" s="74" t="s">
        <v>283</v>
      </c>
      <c r="R105" s="2"/>
    </row>
    <row r="106" spans="1:18" ht="30" x14ac:dyDescent="0.25">
      <c r="A106" s="73" t="s">
        <v>322</v>
      </c>
      <c r="B106" s="74" t="s">
        <v>323</v>
      </c>
      <c r="C106" s="73">
        <v>3</v>
      </c>
      <c r="D106" s="19" t="s">
        <v>2482</v>
      </c>
      <c r="E106" s="108">
        <f>(COUNTIF(D106:D114,$D$180)+(COUNTIF(D106:D114,$D$183)*0.5))/(COUNTA(D106:D114)-COUNTIF(D106:D114,$D$182))</f>
        <v>0</v>
      </c>
      <c r="F106" s="73" t="s">
        <v>122</v>
      </c>
      <c r="G106" s="73" t="s">
        <v>54</v>
      </c>
      <c r="H106" s="73">
        <f t="shared" si="11"/>
        <v>5</v>
      </c>
      <c r="I106" s="73">
        <f t="shared" si="12"/>
        <v>0</v>
      </c>
      <c r="J106" s="73">
        <f t="shared" ref="J106:J107" si="14">I106*H106</f>
        <v>0</v>
      </c>
      <c r="K106" s="73" t="s">
        <v>55</v>
      </c>
      <c r="L106" s="73" t="s">
        <v>16</v>
      </c>
      <c r="M106" s="73" t="s">
        <v>55</v>
      </c>
      <c r="N106" s="73" t="s">
        <v>55</v>
      </c>
      <c r="O106" s="73"/>
      <c r="P106" s="73"/>
      <c r="Q106" s="74"/>
      <c r="R106" s="2"/>
    </row>
    <row r="107" spans="1:18" ht="30" x14ac:dyDescent="0.25">
      <c r="A107" s="73" t="s">
        <v>324</v>
      </c>
      <c r="B107" s="74" t="s">
        <v>325</v>
      </c>
      <c r="C107" s="73">
        <v>3</v>
      </c>
      <c r="D107" s="19" t="s">
        <v>2482</v>
      </c>
      <c r="E107" s="108"/>
      <c r="F107" s="73" t="s">
        <v>99</v>
      </c>
      <c r="G107" s="73" t="s">
        <v>68</v>
      </c>
      <c r="H107" s="73">
        <f t="shared" si="11"/>
        <v>3</v>
      </c>
      <c r="I107" s="73">
        <f t="shared" si="12"/>
        <v>0</v>
      </c>
      <c r="J107" s="73">
        <f t="shared" si="14"/>
        <v>0</v>
      </c>
      <c r="K107" s="73" t="s">
        <v>55</v>
      </c>
      <c r="L107" s="73" t="s">
        <v>326</v>
      </c>
      <c r="M107" s="73" t="s">
        <v>55</v>
      </c>
      <c r="N107" s="73" t="s">
        <v>55</v>
      </c>
      <c r="O107" s="73"/>
      <c r="P107" s="73"/>
      <c r="Q107" s="74" t="s">
        <v>327</v>
      </c>
      <c r="R107" s="2"/>
    </row>
    <row r="108" spans="1:18" ht="240" x14ac:dyDescent="0.25">
      <c r="A108" s="73" t="s">
        <v>328</v>
      </c>
      <c r="B108" s="74" t="s">
        <v>329</v>
      </c>
      <c r="C108" s="73">
        <v>3</v>
      </c>
      <c r="D108" s="19" t="s">
        <v>2482</v>
      </c>
      <c r="E108" s="108"/>
      <c r="F108" s="73" t="s">
        <v>330</v>
      </c>
      <c r="G108" s="73" t="s">
        <v>68</v>
      </c>
      <c r="H108" s="73">
        <f t="shared" si="11"/>
        <v>3</v>
      </c>
      <c r="I108" s="73">
        <f t="shared" si="12"/>
        <v>0</v>
      </c>
      <c r="J108" s="73">
        <f t="shared" si="13"/>
        <v>0</v>
      </c>
      <c r="K108" s="73" t="s">
        <v>55</v>
      </c>
      <c r="L108" s="73" t="s">
        <v>55</v>
      </c>
      <c r="M108" s="73" t="s">
        <v>55</v>
      </c>
      <c r="N108" s="73" t="s">
        <v>55</v>
      </c>
      <c r="O108" s="42" t="s">
        <v>290</v>
      </c>
      <c r="P108" s="42"/>
      <c r="Q108" s="49" t="s">
        <v>291</v>
      </c>
      <c r="R108" s="2"/>
    </row>
    <row r="109" spans="1:18" ht="30" x14ac:dyDescent="0.25">
      <c r="A109" s="73" t="s">
        <v>331</v>
      </c>
      <c r="B109" s="74" t="s">
        <v>332</v>
      </c>
      <c r="C109" s="73">
        <v>3</v>
      </c>
      <c r="D109" s="19" t="s">
        <v>2482</v>
      </c>
      <c r="E109" s="108"/>
      <c r="F109" s="73" t="s">
        <v>93</v>
      </c>
      <c r="G109" s="73" t="s">
        <v>54</v>
      </c>
      <c r="H109" s="73">
        <f t="shared" si="11"/>
        <v>5</v>
      </c>
      <c r="I109" s="73">
        <f t="shared" si="12"/>
        <v>0</v>
      </c>
      <c r="J109" s="73">
        <f t="shared" si="13"/>
        <v>0</v>
      </c>
      <c r="K109" s="73" t="s">
        <v>55</v>
      </c>
      <c r="L109" s="73" t="s">
        <v>249</v>
      </c>
      <c r="M109" s="73" t="s">
        <v>55</v>
      </c>
      <c r="N109" s="73" t="s">
        <v>55</v>
      </c>
      <c r="O109" s="73"/>
      <c r="P109" s="73"/>
      <c r="Q109" s="74"/>
    </row>
    <row r="110" spans="1:18" ht="30" x14ac:dyDescent="0.25">
      <c r="A110" s="73" t="s">
        <v>333</v>
      </c>
      <c r="B110" s="74" t="s">
        <v>334</v>
      </c>
      <c r="C110" s="73">
        <v>3</v>
      </c>
      <c r="D110" s="19" t="s">
        <v>2482</v>
      </c>
      <c r="E110" s="108"/>
      <c r="F110" s="73" t="s">
        <v>99</v>
      </c>
      <c r="G110" s="73" t="s">
        <v>54</v>
      </c>
      <c r="H110" s="73">
        <f t="shared" si="11"/>
        <v>5</v>
      </c>
      <c r="I110" s="73">
        <f t="shared" si="12"/>
        <v>0</v>
      </c>
      <c r="J110" s="73">
        <f t="shared" si="13"/>
        <v>0</v>
      </c>
      <c r="K110" s="73" t="s">
        <v>55</v>
      </c>
      <c r="L110" s="73" t="s">
        <v>10</v>
      </c>
      <c r="M110" s="73" t="s">
        <v>55</v>
      </c>
      <c r="N110" s="73" t="s">
        <v>55</v>
      </c>
      <c r="O110" s="73"/>
      <c r="P110" s="73"/>
      <c r="Q110" s="74" t="s">
        <v>335</v>
      </c>
      <c r="R110" s="2"/>
    </row>
    <row r="111" spans="1:18" ht="30" x14ac:dyDescent="0.25">
      <c r="A111" s="73" t="s">
        <v>336</v>
      </c>
      <c r="B111" s="74" t="s">
        <v>337</v>
      </c>
      <c r="C111" s="73">
        <v>3</v>
      </c>
      <c r="D111" s="19" t="s">
        <v>2482</v>
      </c>
      <c r="E111" s="108"/>
      <c r="F111" s="73" t="s">
        <v>99</v>
      </c>
      <c r="G111" s="73" t="s">
        <v>54</v>
      </c>
      <c r="H111" s="73">
        <f t="shared" si="11"/>
        <v>5</v>
      </c>
      <c r="I111" s="73">
        <f t="shared" si="12"/>
        <v>0</v>
      </c>
      <c r="J111" s="73">
        <f t="shared" si="13"/>
        <v>0</v>
      </c>
      <c r="K111" s="73" t="s">
        <v>55</v>
      </c>
      <c r="L111" s="73" t="s">
        <v>10</v>
      </c>
      <c r="M111" s="73" t="s">
        <v>55</v>
      </c>
      <c r="N111" s="73" t="s">
        <v>55</v>
      </c>
      <c r="O111" s="73"/>
      <c r="P111" s="73"/>
      <c r="Q111" s="74" t="s">
        <v>335</v>
      </c>
    </row>
    <row r="112" spans="1:18" ht="45" x14ac:dyDescent="0.25">
      <c r="A112" s="73" t="s">
        <v>338</v>
      </c>
      <c r="B112" s="74" t="s">
        <v>339</v>
      </c>
      <c r="C112" s="73">
        <v>3</v>
      </c>
      <c r="D112" s="19" t="s">
        <v>2482</v>
      </c>
      <c r="E112" s="108"/>
      <c r="F112" s="73" t="s">
        <v>99</v>
      </c>
      <c r="G112" s="73" t="s">
        <v>54</v>
      </c>
      <c r="H112" s="73">
        <f>IF(D112="Не применимо",0,IF(G112="высокий",5,IF(G112="средний",3,IF(G112="низкий",1,""))))</f>
        <v>5</v>
      </c>
      <c r="I112" s="73">
        <f t="shared" si="12"/>
        <v>0</v>
      </c>
      <c r="J112" s="73">
        <f>I112*H112</f>
        <v>0</v>
      </c>
      <c r="K112" s="73" t="s">
        <v>55</v>
      </c>
      <c r="L112" s="73" t="s">
        <v>4</v>
      </c>
      <c r="M112" s="73" t="s">
        <v>55</v>
      </c>
      <c r="N112" s="73" t="s">
        <v>55</v>
      </c>
      <c r="O112" s="73"/>
      <c r="P112" s="73"/>
      <c r="Q112" s="74" t="s">
        <v>340</v>
      </c>
    </row>
    <row r="113" spans="1:18" ht="30" x14ac:dyDescent="0.25">
      <c r="A113" s="73" t="s">
        <v>341</v>
      </c>
      <c r="B113" s="74" t="s">
        <v>342</v>
      </c>
      <c r="C113" s="73">
        <v>3</v>
      </c>
      <c r="D113" s="19" t="s">
        <v>2482</v>
      </c>
      <c r="E113" s="108"/>
      <c r="F113" s="73" t="s">
        <v>99</v>
      </c>
      <c r="G113" s="73" t="s">
        <v>54</v>
      </c>
      <c r="H113" s="73">
        <f>IF(D113="Не применимо",0,IF(G113="высокий",5,IF(G113="средний",3,IF(G113="низкий",1,""))))</f>
        <v>5</v>
      </c>
      <c r="I113" s="73">
        <f t="shared" si="12"/>
        <v>0</v>
      </c>
      <c r="J113" s="73">
        <f>I113*H113</f>
        <v>0</v>
      </c>
      <c r="K113" s="73" t="s">
        <v>55</v>
      </c>
      <c r="L113" s="42" t="s">
        <v>254</v>
      </c>
      <c r="M113" s="73" t="s">
        <v>55</v>
      </c>
      <c r="N113" s="73" t="s">
        <v>55</v>
      </c>
      <c r="O113" s="73"/>
      <c r="P113" s="73"/>
      <c r="Q113" s="74" t="s">
        <v>343</v>
      </c>
    </row>
    <row r="114" spans="1:18" ht="45" x14ac:dyDescent="0.25">
      <c r="A114" s="73" t="s">
        <v>344</v>
      </c>
      <c r="B114" s="74" t="s">
        <v>345</v>
      </c>
      <c r="C114" s="73">
        <v>3</v>
      </c>
      <c r="D114" s="19" t="s">
        <v>2482</v>
      </c>
      <c r="E114" s="108"/>
      <c r="F114" s="73" t="s">
        <v>99</v>
      </c>
      <c r="G114" s="73" t="s">
        <v>54</v>
      </c>
      <c r="H114" s="73">
        <f>IF(D114="Не применимо",0,IF(G114="высокий",5,IF(G114="средний",3,IF(G114="низкий",1,""))))</f>
        <v>5</v>
      </c>
      <c r="I114" s="73">
        <f t="shared" si="12"/>
        <v>0</v>
      </c>
      <c r="J114" s="92">
        <f>I114*H114</f>
        <v>0</v>
      </c>
      <c r="K114" s="92" t="s">
        <v>55</v>
      </c>
      <c r="L114" s="93" t="s">
        <v>346</v>
      </c>
      <c r="M114" s="92" t="s">
        <v>55</v>
      </c>
      <c r="N114" s="73" t="s">
        <v>55</v>
      </c>
      <c r="O114" s="73"/>
      <c r="P114" s="73"/>
      <c r="Q114" s="74" t="s">
        <v>347</v>
      </c>
    </row>
    <row r="115" spans="1:18" ht="30" x14ac:dyDescent="0.25">
      <c r="A115" s="73" t="s">
        <v>348</v>
      </c>
      <c r="B115" s="74" t="s">
        <v>349</v>
      </c>
      <c r="C115" s="73">
        <v>4</v>
      </c>
      <c r="D115" s="19" t="s">
        <v>2482</v>
      </c>
      <c r="E115" s="108">
        <f>(COUNTIF(D115:D121,$D$180)+(COUNTIF(D115:D121,$D$183)*0.5))/(COUNTA(D115:D121)-COUNTIF(D115:D121,$D$182))</f>
        <v>0</v>
      </c>
      <c r="F115" s="73" t="s">
        <v>99</v>
      </c>
      <c r="G115" s="73" t="s">
        <v>68</v>
      </c>
      <c r="H115" s="73">
        <f t="shared" si="11"/>
        <v>3</v>
      </c>
      <c r="I115" s="73">
        <f t="shared" si="12"/>
        <v>0</v>
      </c>
      <c r="J115" s="92">
        <f t="shared" si="13"/>
        <v>0</v>
      </c>
      <c r="K115" s="92" t="s">
        <v>55</v>
      </c>
      <c r="L115" s="92" t="s">
        <v>257</v>
      </c>
      <c r="M115" s="92" t="s">
        <v>55</v>
      </c>
      <c r="N115" s="73" t="s">
        <v>55</v>
      </c>
      <c r="O115" s="73"/>
      <c r="P115" s="73"/>
      <c r="Q115" s="74"/>
    </row>
    <row r="116" spans="1:18" ht="30" x14ac:dyDescent="0.25">
      <c r="A116" s="73" t="s">
        <v>350</v>
      </c>
      <c r="B116" s="74" t="s">
        <v>259</v>
      </c>
      <c r="C116" s="73">
        <v>4</v>
      </c>
      <c r="D116" s="19" t="s">
        <v>2482</v>
      </c>
      <c r="E116" s="108"/>
      <c r="F116" s="73" t="s">
        <v>153</v>
      </c>
      <c r="G116" s="73" t="s">
        <v>68</v>
      </c>
      <c r="H116" s="73">
        <f t="shared" si="11"/>
        <v>3</v>
      </c>
      <c r="I116" s="73">
        <f t="shared" si="12"/>
        <v>0</v>
      </c>
      <c r="J116" s="92">
        <f t="shared" si="13"/>
        <v>0</v>
      </c>
      <c r="K116" s="92" t="s">
        <v>55</v>
      </c>
      <c r="L116" s="92" t="s">
        <v>55</v>
      </c>
      <c r="M116" s="92" t="s">
        <v>55</v>
      </c>
      <c r="N116" s="73" t="s">
        <v>55</v>
      </c>
      <c r="O116" s="73"/>
      <c r="P116" s="73"/>
      <c r="Q116" s="74"/>
    </row>
    <row r="117" spans="1:18" ht="30" x14ac:dyDescent="0.25">
      <c r="A117" s="73" t="s">
        <v>351</v>
      </c>
      <c r="B117" s="74" t="s">
        <v>352</v>
      </c>
      <c r="C117" s="73">
        <v>4</v>
      </c>
      <c r="D117" s="19" t="s">
        <v>2482</v>
      </c>
      <c r="E117" s="108"/>
      <c r="F117" s="73" t="s">
        <v>157</v>
      </c>
      <c r="G117" s="73" t="s">
        <v>146</v>
      </c>
      <c r="H117" s="73">
        <f t="shared" si="11"/>
        <v>1</v>
      </c>
      <c r="I117" s="73">
        <f t="shared" si="12"/>
        <v>0</v>
      </c>
      <c r="J117" s="92">
        <f t="shared" si="13"/>
        <v>0</v>
      </c>
      <c r="K117" s="92" t="s">
        <v>55</v>
      </c>
      <c r="L117" s="92" t="s">
        <v>15</v>
      </c>
      <c r="M117" s="92" t="s">
        <v>55</v>
      </c>
      <c r="N117" s="73" t="s">
        <v>55</v>
      </c>
      <c r="O117" s="73"/>
      <c r="P117" s="73"/>
      <c r="Q117" s="74"/>
    </row>
    <row r="118" spans="1:18" ht="30" x14ac:dyDescent="0.25">
      <c r="A118" s="73" t="s">
        <v>353</v>
      </c>
      <c r="B118" s="74" t="s">
        <v>354</v>
      </c>
      <c r="C118" s="73">
        <v>4</v>
      </c>
      <c r="D118" s="19" t="s">
        <v>2482</v>
      </c>
      <c r="E118" s="108"/>
      <c r="F118" s="73" t="s">
        <v>99</v>
      </c>
      <c r="G118" s="73" t="s">
        <v>68</v>
      </c>
      <c r="H118" s="73">
        <f t="shared" si="11"/>
        <v>3</v>
      </c>
      <c r="I118" s="73">
        <f t="shared" si="12"/>
        <v>0</v>
      </c>
      <c r="J118" s="92">
        <f t="shared" si="13"/>
        <v>0</v>
      </c>
      <c r="K118" s="92" t="s">
        <v>55</v>
      </c>
      <c r="L118" s="92" t="s">
        <v>355</v>
      </c>
      <c r="M118" s="92" t="s">
        <v>55</v>
      </c>
      <c r="N118" s="73" t="s">
        <v>55</v>
      </c>
      <c r="O118" s="73"/>
      <c r="P118" s="73"/>
      <c r="Q118" s="74"/>
    </row>
    <row r="119" spans="1:18" ht="30" x14ac:dyDescent="0.25">
      <c r="A119" s="73" t="s">
        <v>356</v>
      </c>
      <c r="B119" s="74" t="s">
        <v>357</v>
      </c>
      <c r="C119" s="73">
        <v>4</v>
      </c>
      <c r="D119" s="19" t="s">
        <v>2482</v>
      </c>
      <c r="E119" s="108"/>
      <c r="F119" s="73" t="s">
        <v>99</v>
      </c>
      <c r="G119" s="73" t="s">
        <v>68</v>
      </c>
      <c r="H119" s="73">
        <f t="shared" si="11"/>
        <v>3</v>
      </c>
      <c r="I119" s="73">
        <f t="shared" si="12"/>
        <v>0</v>
      </c>
      <c r="J119" s="73">
        <f t="shared" si="13"/>
        <v>0</v>
      </c>
      <c r="K119" s="73" t="s">
        <v>55</v>
      </c>
      <c r="L119" s="73" t="s">
        <v>358</v>
      </c>
      <c r="M119" s="73" t="s">
        <v>55</v>
      </c>
      <c r="N119" s="73" t="s">
        <v>55</v>
      </c>
      <c r="O119" s="42" t="s">
        <v>277</v>
      </c>
      <c r="P119" s="42"/>
      <c r="Q119" s="74"/>
    </row>
    <row r="120" spans="1:18" ht="60" x14ac:dyDescent="0.25">
      <c r="A120" s="73" t="s">
        <v>359</v>
      </c>
      <c r="B120" s="74" t="s">
        <v>360</v>
      </c>
      <c r="C120" s="73">
        <v>4</v>
      </c>
      <c r="D120" s="19" t="s">
        <v>2482</v>
      </c>
      <c r="E120" s="108"/>
      <c r="F120" s="73" t="s">
        <v>99</v>
      </c>
      <c r="G120" s="73" t="s">
        <v>146</v>
      </c>
      <c r="H120" s="73">
        <f t="shared" si="11"/>
        <v>1</v>
      </c>
      <c r="I120" s="73">
        <f t="shared" si="12"/>
        <v>0</v>
      </c>
      <c r="J120" s="73">
        <f t="shared" si="13"/>
        <v>0</v>
      </c>
      <c r="K120" s="73" t="s">
        <v>55</v>
      </c>
      <c r="L120" s="42" t="s">
        <v>361</v>
      </c>
      <c r="M120" s="73" t="s">
        <v>55</v>
      </c>
      <c r="N120" s="73" t="s">
        <v>55</v>
      </c>
      <c r="O120" s="73"/>
      <c r="P120" s="73"/>
      <c r="Q120" s="74" t="s">
        <v>362</v>
      </c>
    </row>
    <row r="121" spans="1:18" ht="45" x14ac:dyDescent="0.25">
      <c r="A121" s="73" t="s">
        <v>363</v>
      </c>
      <c r="B121" s="74" t="s">
        <v>364</v>
      </c>
      <c r="C121" s="73">
        <v>4</v>
      </c>
      <c r="D121" s="19" t="s">
        <v>2482</v>
      </c>
      <c r="E121" s="108"/>
      <c r="F121" s="73" t="s">
        <v>99</v>
      </c>
      <c r="G121" s="73" t="s">
        <v>146</v>
      </c>
      <c r="H121" s="73">
        <f t="shared" si="11"/>
        <v>1</v>
      </c>
      <c r="I121" s="73">
        <f t="shared" si="12"/>
        <v>0</v>
      </c>
      <c r="J121" s="73">
        <f t="shared" si="13"/>
        <v>0</v>
      </c>
      <c r="K121" s="73" t="s">
        <v>55</v>
      </c>
      <c r="L121" s="42" t="s">
        <v>365</v>
      </c>
      <c r="M121" s="73" t="s">
        <v>55</v>
      </c>
      <c r="N121" s="73" t="s">
        <v>55</v>
      </c>
      <c r="O121" s="73"/>
      <c r="P121" s="73"/>
      <c r="Q121" s="74" t="s">
        <v>347</v>
      </c>
    </row>
    <row r="122" spans="1:18" ht="30" x14ac:dyDescent="0.25">
      <c r="A122" s="38"/>
      <c r="B122" s="39"/>
      <c r="C122" s="40"/>
      <c r="D122" s="24"/>
      <c r="E122" s="24"/>
      <c r="F122" s="38"/>
      <c r="G122" s="25" t="s">
        <v>79</v>
      </c>
      <c r="H122" s="24">
        <f>SUM(H85:H121)</f>
        <v>143</v>
      </c>
      <c r="I122" s="24" t="s">
        <v>80</v>
      </c>
      <c r="J122" s="24">
        <f>SUM(J85:J121)</f>
        <v>0</v>
      </c>
      <c r="K122" s="41"/>
      <c r="L122" s="41"/>
      <c r="M122" s="41"/>
      <c r="N122" s="41"/>
      <c r="O122" s="41"/>
      <c r="P122" s="41"/>
      <c r="Q122" s="50"/>
    </row>
    <row r="123" spans="1:18" ht="14.65" customHeight="1" x14ac:dyDescent="0.25">
      <c r="A123" s="109" t="s">
        <v>366</v>
      </c>
      <c r="B123" s="109"/>
      <c r="C123" s="109"/>
      <c r="D123" s="109"/>
      <c r="E123" s="109"/>
      <c r="F123" s="109"/>
      <c r="G123" s="109"/>
      <c r="H123" s="109"/>
      <c r="I123" s="109"/>
      <c r="J123" s="109"/>
      <c r="K123" s="109"/>
      <c r="L123" s="109"/>
      <c r="M123" s="109"/>
      <c r="N123" s="109"/>
      <c r="O123" s="109"/>
      <c r="P123" s="109"/>
      <c r="Q123" s="109"/>
    </row>
    <row r="124" spans="1:18" ht="30" x14ac:dyDescent="0.25">
      <c r="A124" s="73" t="s">
        <v>367</v>
      </c>
      <c r="B124" s="74" t="s">
        <v>368</v>
      </c>
      <c r="C124" s="73">
        <v>1</v>
      </c>
      <c r="D124" s="19" t="s">
        <v>2482</v>
      </c>
      <c r="E124" s="108">
        <f>(COUNTIF(D124:D128,$D$180)+(COUNTIF(D124:D128,$D$183)*0.5))/(COUNTA(D124:D128)-COUNTIF(D124:D128,$D$182))</f>
        <v>0</v>
      </c>
      <c r="F124" s="73" t="s">
        <v>252</v>
      </c>
      <c r="G124" s="73" t="s">
        <v>54</v>
      </c>
      <c r="H124" s="73">
        <f>IF(D124="Не применимо",0,IF(G124="высокий",5,IF(G124="средний",3,IF(G124="низкий",1,""))))</f>
        <v>5</v>
      </c>
      <c r="I124" s="73">
        <f t="shared" ref="I124:I137" si="15">IF(D124="Не применимо",0,IF(D124="Выполняется",1,IF(D124="Частично выполняется",0.5,IF(D124="Не выполняется",0,IF(D124="Не заполнено",0,"")))))</f>
        <v>0</v>
      </c>
      <c r="J124" s="73">
        <f t="shared" ref="J124:J137" si="16">I124*H124</f>
        <v>0</v>
      </c>
      <c r="K124" s="73" t="s">
        <v>55</v>
      </c>
      <c r="L124" s="73" t="s">
        <v>369</v>
      </c>
      <c r="M124" s="73" t="s">
        <v>55</v>
      </c>
      <c r="N124" s="73" t="s">
        <v>55</v>
      </c>
      <c r="O124" s="73"/>
      <c r="P124" s="73" t="s">
        <v>370</v>
      </c>
      <c r="Q124" s="75" t="s">
        <v>2544</v>
      </c>
    </row>
    <row r="125" spans="1:18" ht="90" x14ac:dyDescent="0.25">
      <c r="A125" s="73" t="s">
        <v>371</v>
      </c>
      <c r="B125" s="74" t="s">
        <v>372</v>
      </c>
      <c r="C125" s="73">
        <v>1</v>
      </c>
      <c r="D125" s="19" t="s">
        <v>2482</v>
      </c>
      <c r="E125" s="108"/>
      <c r="F125" s="73" t="s">
        <v>373</v>
      </c>
      <c r="G125" s="73" t="s">
        <v>54</v>
      </c>
      <c r="H125" s="73">
        <f t="shared" ref="H125:H137" si="17">IF(D125="Не применимо",0,IF(G125="высокий",5,IF(G125="средний",3,IF(G125="низкий",1,""))))</f>
        <v>5</v>
      </c>
      <c r="I125" s="73">
        <f t="shared" si="15"/>
        <v>0</v>
      </c>
      <c r="J125" s="73">
        <f t="shared" si="16"/>
        <v>0</v>
      </c>
      <c r="K125" s="73" t="s">
        <v>374</v>
      </c>
      <c r="L125" s="73" t="s">
        <v>375</v>
      </c>
      <c r="M125" s="73" t="s">
        <v>55</v>
      </c>
      <c r="N125" s="73" t="s">
        <v>55</v>
      </c>
      <c r="O125" s="73"/>
      <c r="P125" s="73" t="s">
        <v>376</v>
      </c>
      <c r="Q125" s="75" t="s">
        <v>377</v>
      </c>
      <c r="R125" s="2"/>
    </row>
    <row r="126" spans="1:18" ht="45" x14ac:dyDescent="0.25">
      <c r="A126" s="73" t="s">
        <v>378</v>
      </c>
      <c r="B126" s="74" t="s">
        <v>379</v>
      </c>
      <c r="C126" s="73">
        <v>1</v>
      </c>
      <c r="D126" s="19" t="s">
        <v>2482</v>
      </c>
      <c r="E126" s="108"/>
      <c r="F126" s="73" t="s">
        <v>380</v>
      </c>
      <c r="G126" s="73" t="s">
        <v>54</v>
      </c>
      <c r="H126" s="73">
        <f t="shared" si="17"/>
        <v>5</v>
      </c>
      <c r="I126" s="73">
        <f t="shared" si="15"/>
        <v>0</v>
      </c>
      <c r="J126" s="73">
        <f t="shared" si="16"/>
        <v>0</v>
      </c>
      <c r="K126" s="73" t="s">
        <v>55</v>
      </c>
      <c r="L126" s="73" t="s">
        <v>381</v>
      </c>
      <c r="M126" s="73" t="s">
        <v>55</v>
      </c>
      <c r="N126" s="73" t="s">
        <v>55</v>
      </c>
      <c r="O126" s="73"/>
      <c r="P126" s="73" t="s">
        <v>382</v>
      </c>
      <c r="Q126" s="75"/>
    </row>
    <row r="127" spans="1:18" ht="30" x14ac:dyDescent="0.25">
      <c r="A127" s="73" t="s">
        <v>383</v>
      </c>
      <c r="B127" s="74" t="s">
        <v>384</v>
      </c>
      <c r="C127" s="73">
        <v>1</v>
      </c>
      <c r="D127" s="19" t="s">
        <v>2482</v>
      </c>
      <c r="E127" s="108"/>
      <c r="F127" s="73" t="s">
        <v>99</v>
      </c>
      <c r="G127" s="73" t="s">
        <v>54</v>
      </c>
      <c r="H127" s="73">
        <f t="shared" si="17"/>
        <v>5</v>
      </c>
      <c r="I127" s="73">
        <f t="shared" si="15"/>
        <v>0</v>
      </c>
      <c r="J127" s="73">
        <f t="shared" si="16"/>
        <v>0</v>
      </c>
      <c r="K127" s="73" t="s">
        <v>55</v>
      </c>
      <c r="L127" s="73" t="s">
        <v>385</v>
      </c>
      <c r="M127" s="73" t="s">
        <v>55</v>
      </c>
      <c r="N127" s="73" t="s">
        <v>55</v>
      </c>
      <c r="O127" s="73"/>
      <c r="P127" s="73"/>
      <c r="Q127" s="75"/>
    </row>
    <row r="128" spans="1:18" ht="30" x14ac:dyDescent="0.25">
      <c r="A128" s="73" t="s">
        <v>386</v>
      </c>
      <c r="B128" s="74" t="s">
        <v>387</v>
      </c>
      <c r="C128" s="73">
        <v>1</v>
      </c>
      <c r="D128" s="19" t="s">
        <v>2482</v>
      </c>
      <c r="E128" s="108"/>
      <c r="F128" s="73" t="s">
        <v>388</v>
      </c>
      <c r="G128" s="73" t="s">
        <v>54</v>
      </c>
      <c r="H128" s="73">
        <f t="shared" si="17"/>
        <v>5</v>
      </c>
      <c r="I128" s="73">
        <f t="shared" si="15"/>
        <v>0</v>
      </c>
      <c r="J128" s="73">
        <f t="shared" si="16"/>
        <v>0</v>
      </c>
      <c r="K128" s="73" t="s">
        <v>374</v>
      </c>
      <c r="L128" s="73" t="s">
        <v>381</v>
      </c>
      <c r="M128" s="73" t="s">
        <v>55</v>
      </c>
      <c r="N128" s="73" t="s">
        <v>55</v>
      </c>
      <c r="O128" s="73"/>
      <c r="P128" s="73" t="s">
        <v>389</v>
      </c>
      <c r="Q128" s="75"/>
    </row>
    <row r="129" spans="1:17" ht="30" x14ac:dyDescent="0.25">
      <c r="A129" s="73" t="s">
        <v>390</v>
      </c>
      <c r="B129" s="74" t="s">
        <v>391</v>
      </c>
      <c r="C129" s="73">
        <v>2</v>
      </c>
      <c r="D129" s="19" t="s">
        <v>2482</v>
      </c>
      <c r="E129" s="108">
        <f>(COUNTIF(D129:D131,$D$180)+(COUNTIF(D129:D131,$D$183)*0.5))/(COUNTA(D129:D131)-COUNTIF(D129:D131,$D$182))</f>
        <v>0</v>
      </c>
      <c r="F129" s="73" t="s">
        <v>380</v>
      </c>
      <c r="G129" s="73" t="s">
        <v>54</v>
      </c>
      <c r="H129" s="73">
        <f t="shared" si="17"/>
        <v>5</v>
      </c>
      <c r="I129" s="73">
        <f t="shared" si="15"/>
        <v>0</v>
      </c>
      <c r="J129" s="73">
        <f t="shared" si="16"/>
        <v>0</v>
      </c>
      <c r="K129" s="73" t="s">
        <v>374</v>
      </c>
      <c r="L129" s="73" t="s">
        <v>392</v>
      </c>
      <c r="M129" s="73" t="s">
        <v>55</v>
      </c>
      <c r="N129" s="73" t="s">
        <v>55</v>
      </c>
      <c r="O129" s="73" t="s">
        <v>393</v>
      </c>
      <c r="P129" s="73" t="s">
        <v>394</v>
      </c>
      <c r="Q129" s="75"/>
    </row>
    <row r="130" spans="1:17" ht="30" x14ac:dyDescent="0.25">
      <c r="A130" s="73" t="s">
        <v>395</v>
      </c>
      <c r="B130" s="74" t="s">
        <v>396</v>
      </c>
      <c r="C130" s="73">
        <v>2</v>
      </c>
      <c r="D130" s="19" t="s">
        <v>2482</v>
      </c>
      <c r="E130" s="108"/>
      <c r="F130" s="73" t="s">
        <v>380</v>
      </c>
      <c r="G130" s="73" t="s">
        <v>54</v>
      </c>
      <c r="H130" s="73">
        <f t="shared" si="17"/>
        <v>5</v>
      </c>
      <c r="I130" s="73">
        <f t="shared" si="15"/>
        <v>0</v>
      </c>
      <c r="J130" s="73">
        <f t="shared" si="16"/>
        <v>0</v>
      </c>
      <c r="K130" s="73" t="s">
        <v>55</v>
      </c>
      <c r="L130" s="73" t="s">
        <v>381</v>
      </c>
      <c r="M130" s="73" t="s">
        <v>55</v>
      </c>
      <c r="N130" s="73" t="s">
        <v>55</v>
      </c>
      <c r="O130" s="73" t="s">
        <v>393</v>
      </c>
      <c r="P130" s="73" t="s">
        <v>370</v>
      </c>
      <c r="Q130" s="75" t="s">
        <v>2545</v>
      </c>
    </row>
    <row r="131" spans="1:17" ht="30" x14ac:dyDescent="0.25">
      <c r="A131" s="73" t="s">
        <v>397</v>
      </c>
      <c r="B131" s="74" t="s">
        <v>398</v>
      </c>
      <c r="C131" s="73">
        <v>2</v>
      </c>
      <c r="D131" s="19" t="s">
        <v>2482</v>
      </c>
      <c r="E131" s="108"/>
      <c r="F131" s="73" t="s">
        <v>380</v>
      </c>
      <c r="G131" s="73" t="s">
        <v>68</v>
      </c>
      <c r="H131" s="73">
        <f t="shared" si="17"/>
        <v>3</v>
      </c>
      <c r="I131" s="73">
        <f t="shared" si="15"/>
        <v>0</v>
      </c>
      <c r="J131" s="73">
        <f t="shared" si="16"/>
        <v>0</v>
      </c>
      <c r="K131" s="73" t="s">
        <v>55</v>
      </c>
      <c r="L131" s="73" t="s">
        <v>55</v>
      </c>
      <c r="M131" s="73" t="s">
        <v>55</v>
      </c>
      <c r="N131" s="73" t="s">
        <v>55</v>
      </c>
      <c r="O131" s="73"/>
      <c r="P131" s="73"/>
      <c r="Q131" s="75"/>
    </row>
    <row r="132" spans="1:17" ht="45" x14ac:dyDescent="0.25">
      <c r="A132" s="73" t="s">
        <v>399</v>
      </c>
      <c r="B132" s="74" t="s">
        <v>400</v>
      </c>
      <c r="C132" s="73">
        <v>3</v>
      </c>
      <c r="D132" s="19" t="s">
        <v>2482</v>
      </c>
      <c r="E132" s="108">
        <f>(COUNTIF(D132:D135,$D$180)+(COUNTIF(D132:D135,$D$183)*0.5))/(COUNTA(D132:D135)-COUNTIF(D132:D135,$D$182))</f>
        <v>0</v>
      </c>
      <c r="F132" s="73" t="s">
        <v>401</v>
      </c>
      <c r="G132" s="73" t="s">
        <v>68</v>
      </c>
      <c r="H132" s="73">
        <f t="shared" si="17"/>
        <v>3</v>
      </c>
      <c r="I132" s="73">
        <f t="shared" si="15"/>
        <v>0</v>
      </c>
      <c r="J132" s="73">
        <f t="shared" si="16"/>
        <v>0</v>
      </c>
      <c r="K132" s="73" t="s">
        <v>55</v>
      </c>
      <c r="L132" s="73" t="s">
        <v>55</v>
      </c>
      <c r="M132" s="73" t="s">
        <v>55</v>
      </c>
      <c r="N132" s="73" t="s">
        <v>55</v>
      </c>
      <c r="O132" s="73"/>
      <c r="P132" s="73" t="s">
        <v>370</v>
      </c>
      <c r="Q132" s="75" t="s">
        <v>2546</v>
      </c>
    </row>
    <row r="133" spans="1:17" ht="30" x14ac:dyDescent="0.25">
      <c r="A133" s="73" t="s">
        <v>402</v>
      </c>
      <c r="B133" s="74" t="s">
        <v>403</v>
      </c>
      <c r="C133" s="73">
        <v>3</v>
      </c>
      <c r="D133" s="19" t="s">
        <v>2482</v>
      </c>
      <c r="E133" s="108"/>
      <c r="F133" s="73" t="s">
        <v>404</v>
      </c>
      <c r="G133" s="73" t="s">
        <v>54</v>
      </c>
      <c r="H133" s="73">
        <f t="shared" si="17"/>
        <v>5</v>
      </c>
      <c r="I133" s="73">
        <f t="shared" si="15"/>
        <v>0</v>
      </c>
      <c r="J133" s="73">
        <f t="shared" si="16"/>
        <v>0</v>
      </c>
      <c r="K133" s="73" t="s">
        <v>55</v>
      </c>
      <c r="L133" s="73" t="s">
        <v>405</v>
      </c>
      <c r="M133" s="73" t="s">
        <v>55</v>
      </c>
      <c r="N133" s="73" t="s">
        <v>55</v>
      </c>
      <c r="O133" s="42" t="s">
        <v>393</v>
      </c>
      <c r="P133" s="42" t="s">
        <v>370</v>
      </c>
      <c r="Q133" s="75"/>
    </row>
    <row r="134" spans="1:17" ht="135" x14ac:dyDescent="0.25">
      <c r="A134" s="73" t="s">
        <v>406</v>
      </c>
      <c r="B134" s="74" t="s">
        <v>407</v>
      </c>
      <c r="C134" s="73">
        <v>3</v>
      </c>
      <c r="D134" s="19" t="s">
        <v>2482</v>
      </c>
      <c r="E134" s="108"/>
      <c r="F134" s="73" t="s">
        <v>99</v>
      </c>
      <c r="G134" s="73" t="s">
        <v>68</v>
      </c>
      <c r="H134" s="73">
        <f t="shared" si="17"/>
        <v>3</v>
      </c>
      <c r="I134" s="73">
        <f t="shared" si="15"/>
        <v>0</v>
      </c>
      <c r="J134" s="73">
        <f t="shared" si="16"/>
        <v>0</v>
      </c>
      <c r="K134" s="73" t="s">
        <v>374</v>
      </c>
      <c r="L134" s="73" t="s">
        <v>408</v>
      </c>
      <c r="M134" s="73" t="s">
        <v>55</v>
      </c>
      <c r="N134" s="73" t="s">
        <v>55</v>
      </c>
      <c r="O134" s="73" t="s">
        <v>409</v>
      </c>
      <c r="P134" s="73" t="s">
        <v>410</v>
      </c>
      <c r="Q134" s="75" t="s">
        <v>2547</v>
      </c>
    </row>
    <row r="135" spans="1:17" ht="30" x14ac:dyDescent="0.25">
      <c r="A135" s="73" t="s">
        <v>411</v>
      </c>
      <c r="B135" s="74" t="s">
        <v>412</v>
      </c>
      <c r="C135" s="73">
        <v>3</v>
      </c>
      <c r="D135" s="19" t="s">
        <v>2482</v>
      </c>
      <c r="E135" s="108"/>
      <c r="F135" s="73" t="s">
        <v>380</v>
      </c>
      <c r="G135" s="73" t="s">
        <v>68</v>
      </c>
      <c r="H135" s="73">
        <f t="shared" si="17"/>
        <v>3</v>
      </c>
      <c r="I135" s="73">
        <f t="shared" si="15"/>
        <v>0</v>
      </c>
      <c r="J135" s="73">
        <f t="shared" si="16"/>
        <v>0</v>
      </c>
      <c r="K135" s="73" t="s">
        <v>55</v>
      </c>
      <c r="L135" s="73" t="s">
        <v>381</v>
      </c>
      <c r="M135" s="73" t="s">
        <v>55</v>
      </c>
      <c r="N135" s="73" t="s">
        <v>55</v>
      </c>
      <c r="O135" s="73" t="s">
        <v>413</v>
      </c>
      <c r="P135" s="73" t="s">
        <v>414</v>
      </c>
      <c r="Q135" s="75"/>
    </row>
    <row r="136" spans="1:17" ht="30" x14ac:dyDescent="0.25">
      <c r="A136" s="73" t="s">
        <v>415</v>
      </c>
      <c r="B136" s="74" t="s">
        <v>416</v>
      </c>
      <c r="C136" s="73">
        <v>4</v>
      </c>
      <c r="D136" s="19" t="s">
        <v>2482</v>
      </c>
      <c r="E136" s="108">
        <f>(COUNTIF(D136:D137,$D$180)+(COUNTIF(D136:D137,$D$183)*0.5))/(COUNTA(D136:D137)-COUNTIF(D136:D137,$D$182))</f>
        <v>0</v>
      </c>
      <c r="F136" s="73" t="s">
        <v>99</v>
      </c>
      <c r="G136" s="73" t="s">
        <v>54</v>
      </c>
      <c r="H136" s="73">
        <f t="shared" si="17"/>
        <v>5</v>
      </c>
      <c r="I136" s="73">
        <f t="shared" si="15"/>
        <v>0</v>
      </c>
      <c r="J136" s="73">
        <f t="shared" si="16"/>
        <v>0</v>
      </c>
      <c r="K136" s="73" t="s">
        <v>55</v>
      </c>
      <c r="L136" s="73" t="s">
        <v>417</v>
      </c>
      <c r="M136" s="73" t="s">
        <v>55</v>
      </c>
      <c r="N136" s="73" t="s">
        <v>55</v>
      </c>
      <c r="O136" s="73"/>
      <c r="P136" s="73" t="s">
        <v>389</v>
      </c>
      <c r="Q136" s="75"/>
    </row>
    <row r="137" spans="1:17" ht="30" x14ac:dyDescent="0.25">
      <c r="A137" s="73" t="s">
        <v>418</v>
      </c>
      <c r="B137" s="74" t="s">
        <v>419</v>
      </c>
      <c r="C137" s="73">
        <v>4</v>
      </c>
      <c r="D137" s="19" t="s">
        <v>2482</v>
      </c>
      <c r="E137" s="108"/>
      <c r="F137" s="73" t="s">
        <v>380</v>
      </c>
      <c r="G137" s="73" t="s">
        <v>68</v>
      </c>
      <c r="H137" s="73">
        <f t="shared" si="17"/>
        <v>3</v>
      </c>
      <c r="I137" s="73">
        <f t="shared" si="15"/>
        <v>0</v>
      </c>
      <c r="J137" s="73">
        <f t="shared" si="16"/>
        <v>0</v>
      </c>
      <c r="K137" s="73" t="s">
        <v>55</v>
      </c>
      <c r="L137" s="73" t="s">
        <v>55</v>
      </c>
      <c r="M137" s="73" t="s">
        <v>55</v>
      </c>
      <c r="N137" s="73" t="s">
        <v>55</v>
      </c>
      <c r="O137" s="73" t="s">
        <v>420</v>
      </c>
      <c r="P137" s="73" t="s">
        <v>414</v>
      </c>
      <c r="Q137" s="75"/>
    </row>
    <row r="138" spans="1:17" ht="30" x14ac:dyDescent="0.25">
      <c r="A138" s="38"/>
      <c r="B138" s="39"/>
      <c r="C138" s="40"/>
      <c r="D138" s="24"/>
      <c r="E138" s="24"/>
      <c r="F138" s="38"/>
      <c r="G138" s="25" t="s">
        <v>79</v>
      </c>
      <c r="H138" s="24">
        <f>SUM(H124:H137)</f>
        <v>60</v>
      </c>
      <c r="I138" s="24" t="s">
        <v>80</v>
      </c>
      <c r="J138" s="24">
        <f>SUM(J124:J137)</f>
        <v>0</v>
      </c>
      <c r="K138" s="41"/>
      <c r="L138" s="41"/>
      <c r="M138" s="41"/>
      <c r="N138" s="41"/>
      <c r="O138" s="41"/>
      <c r="P138" s="41"/>
      <c r="Q138" s="38"/>
    </row>
    <row r="139" spans="1:17" ht="14.65" customHeight="1" x14ac:dyDescent="0.25">
      <c r="A139" s="109" t="s">
        <v>421</v>
      </c>
      <c r="B139" s="109"/>
      <c r="C139" s="109"/>
      <c r="D139" s="109"/>
      <c r="E139" s="109"/>
      <c r="F139" s="109"/>
      <c r="G139" s="109"/>
      <c r="H139" s="109"/>
      <c r="I139" s="109"/>
      <c r="J139" s="109"/>
      <c r="K139" s="109"/>
      <c r="L139" s="109"/>
      <c r="M139" s="109"/>
      <c r="N139" s="109"/>
      <c r="O139" s="109"/>
      <c r="P139" s="109"/>
      <c r="Q139" s="109"/>
    </row>
    <row r="140" spans="1:17" ht="45" x14ac:dyDescent="0.25">
      <c r="A140" s="73" t="s">
        <v>422</v>
      </c>
      <c r="B140" s="74" t="s">
        <v>423</v>
      </c>
      <c r="C140" s="73">
        <v>1</v>
      </c>
      <c r="D140" s="19" t="s">
        <v>2482</v>
      </c>
      <c r="E140" s="108">
        <f>(COUNTIF(D140:D143,$D$180)+(COUNTIF(D140:D143,$D$183)*0.5))/(COUNTA(D140:D143)-COUNTIF(D140:D143,$D$182))</f>
        <v>0</v>
      </c>
      <c r="F140" s="73" t="s">
        <v>252</v>
      </c>
      <c r="G140" s="73" t="s">
        <v>54</v>
      </c>
      <c r="H140" s="73">
        <f t="shared" ref="H140:H157" si="18">IF(D140="Не применимо",0,IF(G140="высокий",5,IF(G140="средний",3,IF(G140="низкий",1,""))))</f>
        <v>5</v>
      </c>
      <c r="I140" s="73">
        <f t="shared" ref="I140:I157" si="19">IF(D140="Не применимо",0,IF(D140="Выполняется",1,IF(D140="Частично выполняется",0.5,IF(D140="Не выполняется",0,IF(D140="Не заполнено",0,"")))))</f>
        <v>0</v>
      </c>
      <c r="J140" s="73">
        <f t="shared" ref="J140:J157" si="20">I140*H140</f>
        <v>0</v>
      </c>
      <c r="K140" s="73" t="s">
        <v>424</v>
      </c>
      <c r="L140" s="73" t="s">
        <v>369</v>
      </c>
      <c r="M140" s="73" t="s">
        <v>55</v>
      </c>
      <c r="N140" s="73" t="s">
        <v>55</v>
      </c>
      <c r="O140" s="73"/>
      <c r="P140" s="73" t="s">
        <v>425</v>
      </c>
      <c r="Q140" s="75" t="s">
        <v>426</v>
      </c>
    </row>
    <row r="141" spans="1:17" ht="105" x14ac:dyDescent="0.25">
      <c r="A141" s="73" t="s">
        <v>427</v>
      </c>
      <c r="B141" s="74" t="s">
        <v>428</v>
      </c>
      <c r="C141" s="73">
        <v>1</v>
      </c>
      <c r="D141" s="19" t="s">
        <v>2482</v>
      </c>
      <c r="E141" s="108"/>
      <c r="F141" s="73" t="s">
        <v>429</v>
      </c>
      <c r="G141" s="73" t="s">
        <v>54</v>
      </c>
      <c r="H141" s="73">
        <f t="shared" si="18"/>
        <v>5</v>
      </c>
      <c r="I141" s="73">
        <f t="shared" si="19"/>
        <v>0</v>
      </c>
      <c r="J141" s="73">
        <f t="shared" si="20"/>
        <v>0</v>
      </c>
      <c r="K141" s="73" t="s">
        <v>430</v>
      </c>
      <c r="L141" s="73" t="s">
        <v>30</v>
      </c>
      <c r="M141" s="73" t="s">
        <v>55</v>
      </c>
      <c r="N141" s="73" t="s">
        <v>55</v>
      </c>
      <c r="O141" s="73" t="s">
        <v>294</v>
      </c>
      <c r="P141" s="73" t="s">
        <v>425</v>
      </c>
      <c r="Q141" s="75" t="s">
        <v>431</v>
      </c>
    </row>
    <row r="142" spans="1:17" ht="135" x14ac:dyDescent="0.25">
      <c r="A142" s="73" t="s">
        <v>432</v>
      </c>
      <c r="B142" s="74" t="s">
        <v>433</v>
      </c>
      <c r="C142" s="73">
        <v>1</v>
      </c>
      <c r="D142" s="19" t="s">
        <v>2482</v>
      </c>
      <c r="E142" s="108"/>
      <c r="F142" s="73" t="s">
        <v>60</v>
      </c>
      <c r="G142" s="73" t="s">
        <v>68</v>
      </c>
      <c r="H142" s="73">
        <f t="shared" si="18"/>
        <v>3</v>
      </c>
      <c r="I142" s="73">
        <f t="shared" si="19"/>
        <v>0</v>
      </c>
      <c r="J142" s="73">
        <f t="shared" si="20"/>
        <v>0</v>
      </c>
      <c r="K142" s="73" t="s">
        <v>434</v>
      </c>
      <c r="L142" s="73" t="s">
        <v>435</v>
      </c>
      <c r="M142" s="73" t="s">
        <v>55</v>
      </c>
      <c r="N142" s="73" t="s">
        <v>55</v>
      </c>
      <c r="O142" s="73" t="s">
        <v>436</v>
      </c>
      <c r="P142" s="73" t="s">
        <v>425</v>
      </c>
      <c r="Q142" s="75" t="s">
        <v>437</v>
      </c>
    </row>
    <row r="143" spans="1:17" ht="30" x14ac:dyDescent="0.25">
      <c r="A143" s="73" t="s">
        <v>438</v>
      </c>
      <c r="B143" s="74" t="s">
        <v>439</v>
      </c>
      <c r="C143" s="73">
        <v>1</v>
      </c>
      <c r="D143" s="19" t="s">
        <v>2482</v>
      </c>
      <c r="E143" s="108"/>
      <c r="F143" s="73" t="s">
        <v>429</v>
      </c>
      <c r="G143" s="73" t="s">
        <v>54</v>
      </c>
      <c r="H143" s="73">
        <f t="shared" si="18"/>
        <v>5</v>
      </c>
      <c r="I143" s="73">
        <f t="shared" si="19"/>
        <v>0</v>
      </c>
      <c r="J143" s="73">
        <f t="shared" si="20"/>
        <v>0</v>
      </c>
      <c r="K143" s="73" t="s">
        <v>440</v>
      </c>
      <c r="L143" s="73" t="s">
        <v>441</v>
      </c>
      <c r="M143" s="73" t="s">
        <v>55</v>
      </c>
      <c r="N143" s="73" t="s">
        <v>55</v>
      </c>
      <c r="O143" s="73"/>
      <c r="P143" s="73" t="s">
        <v>425</v>
      </c>
      <c r="Q143" s="75"/>
    </row>
    <row r="144" spans="1:17" ht="30" x14ac:dyDescent="0.25">
      <c r="A144" s="73" t="s">
        <v>442</v>
      </c>
      <c r="B144" s="74" t="s">
        <v>443</v>
      </c>
      <c r="C144" s="73">
        <v>2</v>
      </c>
      <c r="D144" s="19" t="s">
        <v>2482</v>
      </c>
      <c r="E144" s="108">
        <f>(COUNTIF(D144:D151,$D$180)+(COUNTIF(D144:D151,$D$183)*0.5))/(COUNTA(D144:D151)-COUNTIF(D144:D151,$D$182))</f>
        <v>0</v>
      </c>
      <c r="F144" s="73" t="s">
        <v>444</v>
      </c>
      <c r="G144" s="73" t="s">
        <v>68</v>
      </c>
      <c r="H144" s="73">
        <f t="shared" si="18"/>
        <v>3</v>
      </c>
      <c r="I144" s="73">
        <f t="shared" si="19"/>
        <v>0</v>
      </c>
      <c r="J144" s="73">
        <f t="shared" si="20"/>
        <v>0</v>
      </c>
      <c r="K144" s="73" t="s">
        <v>55</v>
      </c>
      <c r="L144" s="73" t="s">
        <v>445</v>
      </c>
      <c r="M144" s="73" t="s">
        <v>55</v>
      </c>
      <c r="N144" s="73" t="s">
        <v>55</v>
      </c>
      <c r="O144" s="73"/>
      <c r="P144" s="73"/>
      <c r="Q144" s="75"/>
    </row>
    <row r="145" spans="1:17" ht="105" x14ac:dyDescent="0.25">
      <c r="A145" s="73" t="s">
        <v>446</v>
      </c>
      <c r="B145" s="74" t="s">
        <v>447</v>
      </c>
      <c r="C145" s="73">
        <v>2</v>
      </c>
      <c r="D145" s="19" t="s">
        <v>2482</v>
      </c>
      <c r="E145" s="108"/>
      <c r="F145" s="73" t="s">
        <v>448</v>
      </c>
      <c r="G145" s="73" t="s">
        <v>68</v>
      </c>
      <c r="H145" s="73">
        <f t="shared" si="18"/>
        <v>3</v>
      </c>
      <c r="I145" s="73">
        <f t="shared" si="19"/>
        <v>0</v>
      </c>
      <c r="J145" s="73">
        <f t="shared" si="20"/>
        <v>0</v>
      </c>
      <c r="K145" s="73" t="s">
        <v>449</v>
      </c>
      <c r="L145" s="73" t="s">
        <v>450</v>
      </c>
      <c r="M145" s="73" t="s">
        <v>55</v>
      </c>
      <c r="N145" s="73" t="s">
        <v>55</v>
      </c>
      <c r="O145" s="73"/>
      <c r="P145" s="73" t="s">
        <v>425</v>
      </c>
      <c r="Q145" s="75" t="s">
        <v>431</v>
      </c>
    </row>
    <row r="146" spans="1:17" ht="105" x14ac:dyDescent="0.25">
      <c r="A146" s="73" t="s">
        <v>451</v>
      </c>
      <c r="B146" s="74" t="s">
        <v>452</v>
      </c>
      <c r="C146" s="73">
        <v>2</v>
      </c>
      <c r="D146" s="19" t="s">
        <v>2482</v>
      </c>
      <c r="E146" s="108"/>
      <c r="F146" s="73" t="s">
        <v>453</v>
      </c>
      <c r="G146" s="73" t="s">
        <v>68</v>
      </c>
      <c r="H146" s="73">
        <f t="shared" si="18"/>
        <v>3</v>
      </c>
      <c r="I146" s="73">
        <f t="shared" si="19"/>
        <v>0</v>
      </c>
      <c r="J146" s="73">
        <f t="shared" si="20"/>
        <v>0</v>
      </c>
      <c r="K146" s="73" t="s">
        <v>55</v>
      </c>
      <c r="L146" s="73" t="s">
        <v>454</v>
      </c>
      <c r="M146" s="73" t="s">
        <v>55</v>
      </c>
      <c r="N146" s="73" t="s">
        <v>55</v>
      </c>
      <c r="O146" s="73"/>
      <c r="P146" s="73" t="s">
        <v>425</v>
      </c>
      <c r="Q146" s="75" t="s">
        <v>431</v>
      </c>
    </row>
    <row r="147" spans="1:17" ht="240" x14ac:dyDescent="0.25">
      <c r="A147" s="73" t="s">
        <v>455</v>
      </c>
      <c r="B147" s="74" t="s">
        <v>456</v>
      </c>
      <c r="C147" s="73">
        <v>2</v>
      </c>
      <c r="D147" s="19" t="s">
        <v>2482</v>
      </c>
      <c r="E147" s="108"/>
      <c r="F147" s="73" t="s">
        <v>233</v>
      </c>
      <c r="G147" s="73" t="s">
        <v>54</v>
      </c>
      <c r="H147" s="73">
        <f t="shared" si="18"/>
        <v>5</v>
      </c>
      <c r="I147" s="73">
        <f t="shared" si="19"/>
        <v>0</v>
      </c>
      <c r="J147" s="73">
        <f t="shared" si="20"/>
        <v>0</v>
      </c>
      <c r="K147" s="73" t="s">
        <v>449</v>
      </c>
      <c r="L147" s="73" t="s">
        <v>457</v>
      </c>
      <c r="M147" s="73" t="s">
        <v>55</v>
      </c>
      <c r="N147" s="73" t="s">
        <v>55</v>
      </c>
      <c r="O147" s="73"/>
      <c r="P147" s="73" t="s">
        <v>425</v>
      </c>
      <c r="Q147" s="75" t="s">
        <v>458</v>
      </c>
    </row>
    <row r="148" spans="1:17" ht="105" x14ac:dyDescent="0.25">
      <c r="A148" s="73" t="s">
        <v>459</v>
      </c>
      <c r="B148" s="74" t="s">
        <v>460</v>
      </c>
      <c r="C148" s="73">
        <v>2</v>
      </c>
      <c r="D148" s="19" t="s">
        <v>2482</v>
      </c>
      <c r="E148" s="108"/>
      <c r="F148" s="73" t="s">
        <v>233</v>
      </c>
      <c r="G148" s="73" t="s">
        <v>68</v>
      </c>
      <c r="H148" s="73">
        <f t="shared" si="18"/>
        <v>3</v>
      </c>
      <c r="I148" s="73">
        <f t="shared" si="19"/>
        <v>0</v>
      </c>
      <c r="J148" s="73">
        <f t="shared" si="20"/>
        <v>0</v>
      </c>
      <c r="K148" s="73" t="s">
        <v>461</v>
      </c>
      <c r="L148" s="73" t="s">
        <v>462</v>
      </c>
      <c r="M148" s="73" t="s">
        <v>55</v>
      </c>
      <c r="N148" s="73" t="s">
        <v>55</v>
      </c>
      <c r="O148" s="73" t="s">
        <v>436</v>
      </c>
      <c r="P148" s="73" t="s">
        <v>425</v>
      </c>
      <c r="Q148" s="75" t="s">
        <v>431</v>
      </c>
    </row>
    <row r="149" spans="1:17" ht="105" x14ac:dyDescent="0.25">
      <c r="A149" s="73" t="s">
        <v>463</v>
      </c>
      <c r="B149" s="74" t="s">
        <v>464</v>
      </c>
      <c r="C149" s="73">
        <v>2</v>
      </c>
      <c r="D149" s="19" t="s">
        <v>2482</v>
      </c>
      <c r="E149" s="108"/>
      <c r="F149" s="73" t="s">
        <v>233</v>
      </c>
      <c r="G149" s="73" t="s">
        <v>68</v>
      </c>
      <c r="H149" s="73">
        <f t="shared" si="18"/>
        <v>3</v>
      </c>
      <c r="I149" s="73">
        <f t="shared" si="19"/>
        <v>0</v>
      </c>
      <c r="J149" s="73">
        <f t="shared" si="20"/>
        <v>0</v>
      </c>
      <c r="K149" s="73" t="s">
        <v>465</v>
      </c>
      <c r="L149" s="73" t="s">
        <v>466</v>
      </c>
      <c r="M149" s="73" t="s">
        <v>55</v>
      </c>
      <c r="N149" s="73" t="s">
        <v>55</v>
      </c>
      <c r="O149" s="73" t="s">
        <v>436</v>
      </c>
      <c r="P149" s="73" t="s">
        <v>425</v>
      </c>
      <c r="Q149" s="75" t="s">
        <v>431</v>
      </c>
    </row>
    <row r="150" spans="1:17" ht="120" x14ac:dyDescent="0.25">
      <c r="A150" s="73" t="s">
        <v>467</v>
      </c>
      <c r="B150" s="74" t="s">
        <v>468</v>
      </c>
      <c r="C150" s="73">
        <v>2</v>
      </c>
      <c r="D150" s="19" t="s">
        <v>2482</v>
      </c>
      <c r="E150" s="108"/>
      <c r="F150" s="73" t="s">
        <v>233</v>
      </c>
      <c r="G150" s="73" t="s">
        <v>68</v>
      </c>
      <c r="H150" s="73">
        <f t="shared" si="18"/>
        <v>3</v>
      </c>
      <c r="I150" s="73">
        <f t="shared" si="19"/>
        <v>0</v>
      </c>
      <c r="J150" s="73">
        <f t="shared" si="20"/>
        <v>0</v>
      </c>
      <c r="K150" s="73" t="s">
        <v>55</v>
      </c>
      <c r="L150" s="73" t="s">
        <v>469</v>
      </c>
      <c r="M150" s="73" t="s">
        <v>55</v>
      </c>
      <c r="N150" s="73" t="s">
        <v>55</v>
      </c>
      <c r="O150" s="73" t="s">
        <v>436</v>
      </c>
      <c r="P150" s="73" t="s">
        <v>425</v>
      </c>
      <c r="Q150" s="75" t="s">
        <v>470</v>
      </c>
    </row>
    <row r="151" spans="1:17" ht="105" x14ac:dyDescent="0.25">
      <c r="A151" s="73" t="s">
        <v>471</v>
      </c>
      <c r="B151" s="74" t="s">
        <v>472</v>
      </c>
      <c r="C151" s="73">
        <v>2</v>
      </c>
      <c r="D151" s="19" t="s">
        <v>2482</v>
      </c>
      <c r="E151" s="108"/>
      <c r="F151" s="73" t="s">
        <v>473</v>
      </c>
      <c r="G151" s="73" t="s">
        <v>68</v>
      </c>
      <c r="H151" s="73">
        <f>IF(D151="Не применимо",0,IF(G151="высокий",5,IF(G151="средний",3,IF(G151="низкий",1,""))))</f>
        <v>3</v>
      </c>
      <c r="I151" s="73">
        <f t="shared" si="19"/>
        <v>0</v>
      </c>
      <c r="J151" s="73">
        <f>I151*H151</f>
        <v>0</v>
      </c>
      <c r="K151" s="73" t="s">
        <v>474</v>
      </c>
      <c r="L151" s="73" t="s">
        <v>475</v>
      </c>
      <c r="M151" s="73" t="s">
        <v>55</v>
      </c>
      <c r="N151" s="73" t="s">
        <v>55</v>
      </c>
      <c r="O151" s="73" t="s">
        <v>294</v>
      </c>
      <c r="P151" s="73"/>
      <c r="Q151" s="75" t="s">
        <v>431</v>
      </c>
    </row>
    <row r="152" spans="1:17" ht="45" x14ac:dyDescent="0.25">
      <c r="A152" s="73" t="s">
        <v>476</v>
      </c>
      <c r="B152" s="74" t="s">
        <v>477</v>
      </c>
      <c r="C152" s="73">
        <v>3</v>
      </c>
      <c r="D152" s="19" t="s">
        <v>2482</v>
      </c>
      <c r="E152" s="108">
        <f>(COUNTIF(D152:D155,$D$180)+(COUNTIF(D152:D155,$D$183)*0.5))/(COUNTA(D152:D155)-COUNTIF(D152:D155,$D$182))</f>
        <v>0</v>
      </c>
      <c r="F152" s="73" t="s">
        <v>99</v>
      </c>
      <c r="G152" s="73" t="s">
        <v>54</v>
      </c>
      <c r="H152" s="73">
        <f t="shared" si="18"/>
        <v>5</v>
      </c>
      <c r="I152" s="73">
        <f t="shared" si="19"/>
        <v>0</v>
      </c>
      <c r="J152" s="73">
        <f t="shared" si="20"/>
        <v>0</v>
      </c>
      <c r="K152" s="73" t="s">
        <v>234</v>
      </c>
      <c r="L152" s="73" t="s">
        <v>55</v>
      </c>
      <c r="M152" s="73" t="s">
        <v>55</v>
      </c>
      <c r="N152" s="73" t="s">
        <v>55</v>
      </c>
      <c r="O152" s="73"/>
      <c r="P152" s="73" t="s">
        <v>425</v>
      </c>
      <c r="Q152" s="75" t="s">
        <v>426</v>
      </c>
    </row>
    <row r="153" spans="1:17" ht="60" x14ac:dyDescent="0.25">
      <c r="A153" s="73" t="s">
        <v>478</v>
      </c>
      <c r="B153" s="74" t="s">
        <v>479</v>
      </c>
      <c r="C153" s="73">
        <v>3</v>
      </c>
      <c r="D153" s="19" t="s">
        <v>2482</v>
      </c>
      <c r="E153" s="108"/>
      <c r="F153" s="73" t="s">
        <v>429</v>
      </c>
      <c r="G153" s="73" t="s">
        <v>54</v>
      </c>
      <c r="H153" s="73">
        <f t="shared" si="18"/>
        <v>5</v>
      </c>
      <c r="I153" s="73">
        <f t="shared" si="19"/>
        <v>0</v>
      </c>
      <c r="J153" s="73">
        <f t="shared" si="20"/>
        <v>0</v>
      </c>
      <c r="K153" s="73" t="s">
        <v>480</v>
      </c>
      <c r="L153" s="73" t="s">
        <v>481</v>
      </c>
      <c r="M153" s="73" t="s">
        <v>55</v>
      </c>
      <c r="N153" s="73" t="s">
        <v>55</v>
      </c>
      <c r="O153" s="42" t="s">
        <v>482</v>
      </c>
      <c r="P153" s="42" t="s">
        <v>425</v>
      </c>
      <c r="Q153" s="75"/>
    </row>
    <row r="154" spans="1:17" ht="105" x14ac:dyDescent="0.25">
      <c r="A154" s="73" t="s">
        <v>483</v>
      </c>
      <c r="B154" s="74" t="s">
        <v>484</v>
      </c>
      <c r="C154" s="73">
        <v>3</v>
      </c>
      <c r="D154" s="19" t="s">
        <v>2482</v>
      </c>
      <c r="E154" s="108"/>
      <c r="F154" s="73" t="s">
        <v>429</v>
      </c>
      <c r="G154" s="73" t="s">
        <v>68</v>
      </c>
      <c r="H154" s="73">
        <f t="shared" si="18"/>
        <v>3</v>
      </c>
      <c r="I154" s="73">
        <f t="shared" si="19"/>
        <v>0</v>
      </c>
      <c r="J154" s="73">
        <f t="shared" si="20"/>
        <v>0</v>
      </c>
      <c r="K154" s="73" t="s">
        <v>430</v>
      </c>
      <c r="L154" s="73" t="s">
        <v>485</v>
      </c>
      <c r="M154" s="73" t="s">
        <v>55</v>
      </c>
      <c r="N154" s="73" t="s">
        <v>55</v>
      </c>
      <c r="O154" s="73" t="s">
        <v>294</v>
      </c>
      <c r="P154" s="73" t="s">
        <v>425</v>
      </c>
      <c r="Q154" s="75" t="s">
        <v>431</v>
      </c>
    </row>
    <row r="155" spans="1:17" ht="105" x14ac:dyDescent="0.25">
      <c r="A155" s="73" t="s">
        <v>486</v>
      </c>
      <c r="B155" s="74" t="s">
        <v>487</v>
      </c>
      <c r="C155" s="73">
        <v>3</v>
      </c>
      <c r="D155" s="19" t="s">
        <v>2482</v>
      </c>
      <c r="E155" s="108"/>
      <c r="F155" s="73" t="s">
        <v>429</v>
      </c>
      <c r="G155" s="73" t="s">
        <v>68</v>
      </c>
      <c r="H155" s="73">
        <f t="shared" si="18"/>
        <v>3</v>
      </c>
      <c r="I155" s="92">
        <f t="shared" si="19"/>
        <v>0</v>
      </c>
      <c r="J155" s="92">
        <f t="shared" si="20"/>
        <v>0</v>
      </c>
      <c r="K155" s="92" t="s">
        <v>488</v>
      </c>
      <c r="L155" s="92" t="s">
        <v>29</v>
      </c>
      <c r="M155" s="92" t="s">
        <v>55</v>
      </c>
      <c r="N155" s="73" t="s">
        <v>55</v>
      </c>
      <c r="O155" s="73" t="s">
        <v>294</v>
      </c>
      <c r="P155" s="73" t="s">
        <v>425</v>
      </c>
      <c r="Q155" s="75" t="s">
        <v>431</v>
      </c>
    </row>
    <row r="156" spans="1:17" ht="105" x14ac:dyDescent="0.25">
      <c r="A156" s="73" t="s">
        <v>489</v>
      </c>
      <c r="B156" s="74" t="s">
        <v>490</v>
      </c>
      <c r="C156" s="73">
        <v>4</v>
      </c>
      <c r="D156" s="19" t="s">
        <v>2482</v>
      </c>
      <c r="E156" s="108">
        <f>(COUNTIF(D156:D157,$D$180)+(COUNTIF(D156:D157,$D$183)*0.5))/(COUNTA(D156:D157)-COUNTIF(D156:D157,$D$182))</f>
        <v>0</v>
      </c>
      <c r="F156" s="73" t="s">
        <v>491</v>
      </c>
      <c r="G156" s="73" t="s">
        <v>68</v>
      </c>
      <c r="H156" s="73">
        <f t="shared" si="18"/>
        <v>3</v>
      </c>
      <c r="I156" s="92">
        <f t="shared" si="19"/>
        <v>0</v>
      </c>
      <c r="J156" s="92">
        <f t="shared" si="20"/>
        <v>0</v>
      </c>
      <c r="K156" s="92" t="s">
        <v>492</v>
      </c>
      <c r="L156" s="92" t="s">
        <v>27</v>
      </c>
      <c r="M156" s="92" t="s">
        <v>55</v>
      </c>
      <c r="N156" s="73" t="s">
        <v>55</v>
      </c>
      <c r="O156" s="42" t="s">
        <v>294</v>
      </c>
      <c r="P156" s="42" t="s">
        <v>425</v>
      </c>
      <c r="Q156" s="75" t="s">
        <v>431</v>
      </c>
    </row>
    <row r="157" spans="1:17" ht="105" x14ac:dyDescent="0.25">
      <c r="A157" s="73" t="s">
        <v>493</v>
      </c>
      <c r="B157" s="74" t="s">
        <v>494</v>
      </c>
      <c r="C157" s="73">
        <v>4</v>
      </c>
      <c r="D157" s="19" t="s">
        <v>2482</v>
      </c>
      <c r="E157" s="108"/>
      <c r="F157" s="73" t="s">
        <v>473</v>
      </c>
      <c r="G157" s="73" t="s">
        <v>68</v>
      </c>
      <c r="H157" s="73">
        <f t="shared" si="18"/>
        <v>3</v>
      </c>
      <c r="I157" s="92">
        <f t="shared" si="19"/>
        <v>0</v>
      </c>
      <c r="J157" s="92">
        <f t="shared" si="20"/>
        <v>0</v>
      </c>
      <c r="K157" s="92" t="s">
        <v>495</v>
      </c>
      <c r="L157" s="92" t="s">
        <v>496</v>
      </c>
      <c r="M157" s="92" t="s">
        <v>55</v>
      </c>
      <c r="N157" s="73" t="s">
        <v>55</v>
      </c>
      <c r="O157" s="42" t="s">
        <v>294</v>
      </c>
      <c r="P157" s="42" t="s">
        <v>425</v>
      </c>
      <c r="Q157" s="75" t="s">
        <v>431</v>
      </c>
    </row>
    <row r="158" spans="1:17" ht="30" x14ac:dyDescent="0.25">
      <c r="A158" s="38"/>
      <c r="B158" s="39"/>
      <c r="C158" s="40"/>
      <c r="D158" s="24"/>
      <c r="E158" s="24"/>
      <c r="F158" s="38"/>
      <c r="G158" s="25" t="s">
        <v>79</v>
      </c>
      <c r="H158" s="24">
        <f>SUM(H140:H157)</f>
        <v>66</v>
      </c>
      <c r="I158" s="24" t="s">
        <v>80</v>
      </c>
      <c r="J158" s="24">
        <f>SUM(J140:J157)</f>
        <v>0</v>
      </c>
      <c r="K158" s="41"/>
      <c r="L158" s="41"/>
      <c r="M158" s="41"/>
      <c r="N158" s="41"/>
      <c r="O158" s="41"/>
      <c r="P158" s="41"/>
      <c r="Q158" s="38"/>
    </row>
    <row r="159" spans="1:17" ht="14.65" customHeight="1" x14ac:dyDescent="0.25">
      <c r="A159" s="109" t="s">
        <v>497</v>
      </c>
      <c r="B159" s="109"/>
      <c r="C159" s="109"/>
      <c r="D159" s="109"/>
      <c r="E159" s="109"/>
      <c r="F159" s="109"/>
      <c r="G159" s="109"/>
      <c r="H159" s="109"/>
      <c r="I159" s="109"/>
      <c r="J159" s="109"/>
      <c r="K159" s="109"/>
      <c r="L159" s="109"/>
      <c r="M159" s="109"/>
      <c r="N159" s="109"/>
      <c r="O159" s="109"/>
      <c r="P159" s="109"/>
      <c r="Q159" s="109"/>
    </row>
    <row r="160" spans="1:17" ht="30" x14ac:dyDescent="0.25">
      <c r="A160" s="73" t="s">
        <v>498</v>
      </c>
      <c r="B160" s="74" t="s">
        <v>499</v>
      </c>
      <c r="C160" s="73">
        <v>1</v>
      </c>
      <c r="D160" s="19" t="s">
        <v>2482</v>
      </c>
      <c r="E160" s="108">
        <f>(COUNTIF(D160:D161,$D$180)+(COUNTIF(D160:D161,$D$183)*0.5))/(COUNTA(D160:D161)-COUNTIF(D160:D161,$D$182))</f>
        <v>0</v>
      </c>
      <c r="F160" s="73" t="s">
        <v>99</v>
      </c>
      <c r="G160" s="73" t="s">
        <v>54</v>
      </c>
      <c r="H160" s="73">
        <f>IF(D160="Не применимо",0,IF(G160="высокий",5,IF(G160="средний",3,IF(G160="низкий",1,""))))</f>
        <v>5</v>
      </c>
      <c r="I160" s="73">
        <f t="shared" ref="I160:I171" si="21">IF(D160="Не применимо",0,IF(D160="Выполняется",1,IF(D160="Частично выполняется",0.5,IF(D160="Не выполняется",0,IF(D160="Не заполнено",0,"")))))</f>
        <v>0</v>
      </c>
      <c r="J160" s="73">
        <f t="shared" ref="J160:J171" si="22">I160*H160</f>
        <v>0</v>
      </c>
      <c r="K160" s="73" t="s">
        <v>500</v>
      </c>
      <c r="L160" s="73" t="s">
        <v>501</v>
      </c>
      <c r="M160" s="73" t="s">
        <v>55</v>
      </c>
      <c r="N160" s="73" t="s">
        <v>55</v>
      </c>
      <c r="O160" s="73" t="s">
        <v>277</v>
      </c>
      <c r="P160" s="73" t="s">
        <v>218</v>
      </c>
      <c r="Q160" s="75"/>
    </row>
    <row r="161" spans="1:17" ht="30" x14ac:dyDescent="0.25">
      <c r="A161" s="84" t="s">
        <v>502</v>
      </c>
      <c r="B161" s="74" t="s">
        <v>505</v>
      </c>
      <c r="C161" s="73">
        <v>1</v>
      </c>
      <c r="D161" s="19" t="s">
        <v>2482</v>
      </c>
      <c r="E161" s="108"/>
      <c r="F161" s="73" t="s">
        <v>99</v>
      </c>
      <c r="G161" s="73" t="s">
        <v>54</v>
      </c>
      <c r="H161" s="73">
        <f t="shared" ref="H161:H171" si="23">IF(D161="Не применимо",0,IF(G161="высокий",5,IF(G161="средний",3,IF(G161="низкий",1,""))))</f>
        <v>5</v>
      </c>
      <c r="I161" s="73">
        <f t="shared" si="21"/>
        <v>0</v>
      </c>
      <c r="J161" s="73">
        <f t="shared" si="22"/>
        <v>0</v>
      </c>
      <c r="K161" s="73" t="s">
        <v>55</v>
      </c>
      <c r="L161" s="73" t="s">
        <v>32</v>
      </c>
      <c r="M161" s="73" t="s">
        <v>55</v>
      </c>
      <c r="N161" s="73" t="s">
        <v>55</v>
      </c>
      <c r="O161" s="73"/>
      <c r="P161" s="73"/>
      <c r="Q161" s="75"/>
    </row>
    <row r="162" spans="1:17" ht="30" x14ac:dyDescent="0.25">
      <c r="A162" s="73" t="s">
        <v>506</v>
      </c>
      <c r="B162" s="74" t="s">
        <v>507</v>
      </c>
      <c r="C162" s="73">
        <v>2</v>
      </c>
      <c r="D162" s="19" t="s">
        <v>2482</v>
      </c>
      <c r="E162" s="108">
        <f>(COUNTIF(D162:D164,$D$180)+(COUNTIF(D162:D164,$D$183)*0.5))/(COUNTA(D162:D164)-COUNTIF(D162:D164,$D$182))</f>
        <v>0</v>
      </c>
      <c r="F162" s="73" t="s">
        <v>60</v>
      </c>
      <c r="G162" s="73" t="s">
        <v>54</v>
      </c>
      <c r="H162" s="73">
        <f t="shared" si="23"/>
        <v>5</v>
      </c>
      <c r="I162" s="73">
        <f t="shared" si="21"/>
        <v>0</v>
      </c>
      <c r="J162" s="73">
        <f t="shared" si="22"/>
        <v>0</v>
      </c>
      <c r="K162" s="73" t="s">
        <v>508</v>
      </c>
      <c r="L162" s="73" t="s">
        <v>55</v>
      </c>
      <c r="M162" s="73" t="s">
        <v>55</v>
      </c>
      <c r="N162" s="73" t="s">
        <v>55</v>
      </c>
      <c r="O162" s="73"/>
      <c r="P162" s="73"/>
      <c r="Q162" s="75" t="s">
        <v>509</v>
      </c>
    </row>
    <row r="163" spans="1:17" ht="30" x14ac:dyDescent="0.25">
      <c r="A163" s="73" t="s">
        <v>510</v>
      </c>
      <c r="B163" s="74" t="s">
        <v>511</v>
      </c>
      <c r="C163" s="73">
        <v>2</v>
      </c>
      <c r="D163" s="19" t="s">
        <v>2482</v>
      </c>
      <c r="E163" s="108"/>
      <c r="F163" s="73" t="s">
        <v>60</v>
      </c>
      <c r="G163" s="73" t="s">
        <v>68</v>
      </c>
      <c r="H163" s="73">
        <f t="shared" si="23"/>
        <v>3</v>
      </c>
      <c r="I163" s="73">
        <f t="shared" si="21"/>
        <v>0</v>
      </c>
      <c r="J163" s="92">
        <f t="shared" si="22"/>
        <v>0</v>
      </c>
      <c r="K163" s="92" t="s">
        <v>512</v>
      </c>
      <c r="L163" s="92" t="s">
        <v>55</v>
      </c>
      <c r="M163" s="92" t="s">
        <v>55</v>
      </c>
      <c r="N163" s="73" t="s">
        <v>55</v>
      </c>
      <c r="O163" s="73"/>
      <c r="P163" s="73"/>
      <c r="Q163" s="75" t="s">
        <v>509</v>
      </c>
    </row>
    <row r="164" spans="1:17" ht="30" x14ac:dyDescent="0.25">
      <c r="A164" s="73" t="s">
        <v>513</v>
      </c>
      <c r="B164" s="74" t="s">
        <v>514</v>
      </c>
      <c r="C164" s="73">
        <v>2</v>
      </c>
      <c r="D164" s="19" t="s">
        <v>2482</v>
      </c>
      <c r="E164" s="108"/>
      <c r="F164" s="73" t="s">
        <v>122</v>
      </c>
      <c r="G164" s="73" t="s">
        <v>54</v>
      </c>
      <c r="H164" s="73">
        <f t="shared" si="23"/>
        <v>5</v>
      </c>
      <c r="I164" s="73">
        <f t="shared" si="21"/>
        <v>0</v>
      </c>
      <c r="J164" s="92">
        <f t="shared" si="22"/>
        <v>0</v>
      </c>
      <c r="K164" s="92" t="s">
        <v>515</v>
      </c>
      <c r="L164" s="92" t="s">
        <v>55</v>
      </c>
      <c r="M164" s="92" t="s">
        <v>55</v>
      </c>
      <c r="N164" s="73" t="s">
        <v>55</v>
      </c>
      <c r="O164" s="42" t="s">
        <v>482</v>
      </c>
      <c r="P164" s="42"/>
      <c r="Q164" s="75" t="s">
        <v>2548</v>
      </c>
    </row>
    <row r="165" spans="1:17" ht="30" x14ac:dyDescent="0.25">
      <c r="A165" s="73" t="s">
        <v>516</v>
      </c>
      <c r="B165" s="74" t="s">
        <v>517</v>
      </c>
      <c r="C165" s="73">
        <v>3</v>
      </c>
      <c r="D165" s="19" t="s">
        <v>2482</v>
      </c>
      <c r="E165" s="108">
        <f>(COUNTIF(D165:D170,$D$180)+(COUNTIF(D165:D170,$D$183)*0.5))/(COUNTA(D165:D170)-COUNTIF(D165:D170,$D$182))</f>
        <v>0</v>
      </c>
      <c r="F165" s="73" t="s">
        <v>60</v>
      </c>
      <c r="G165" s="73" t="s">
        <v>68</v>
      </c>
      <c r="H165" s="73">
        <f t="shared" si="23"/>
        <v>3</v>
      </c>
      <c r="I165" s="73">
        <f t="shared" si="21"/>
        <v>0</v>
      </c>
      <c r="J165" s="92">
        <f t="shared" si="22"/>
        <v>0</v>
      </c>
      <c r="K165" s="92" t="s">
        <v>512</v>
      </c>
      <c r="L165" s="92" t="s">
        <v>55</v>
      </c>
      <c r="M165" s="92" t="s">
        <v>55</v>
      </c>
      <c r="N165" s="73" t="s">
        <v>55</v>
      </c>
      <c r="O165" s="73"/>
      <c r="P165" s="73"/>
      <c r="Q165" s="75" t="s">
        <v>509</v>
      </c>
    </row>
    <row r="166" spans="1:17" ht="30" x14ac:dyDescent="0.25">
      <c r="A166" s="73" t="s">
        <v>518</v>
      </c>
      <c r="B166" s="74" t="s">
        <v>519</v>
      </c>
      <c r="C166" s="73">
        <v>3</v>
      </c>
      <c r="D166" s="19" t="s">
        <v>2482</v>
      </c>
      <c r="E166" s="108"/>
      <c r="F166" s="73" t="s">
        <v>60</v>
      </c>
      <c r="G166" s="73" t="s">
        <v>68</v>
      </c>
      <c r="H166" s="73">
        <f t="shared" si="23"/>
        <v>3</v>
      </c>
      <c r="I166" s="73">
        <f t="shared" si="21"/>
        <v>0</v>
      </c>
      <c r="J166" s="92">
        <f t="shared" si="22"/>
        <v>0</v>
      </c>
      <c r="K166" s="92" t="s">
        <v>512</v>
      </c>
      <c r="L166" s="92" t="s">
        <v>55</v>
      </c>
      <c r="M166" s="92" t="s">
        <v>55</v>
      </c>
      <c r="N166" s="73" t="s">
        <v>55</v>
      </c>
      <c r="O166" s="73"/>
      <c r="P166" s="73"/>
      <c r="Q166" s="75"/>
    </row>
    <row r="167" spans="1:17" ht="45" x14ac:dyDescent="0.25">
      <c r="A167" s="73" t="s">
        <v>520</v>
      </c>
      <c r="B167" s="74" t="s">
        <v>521</v>
      </c>
      <c r="C167" s="73">
        <v>3</v>
      </c>
      <c r="D167" s="19" t="s">
        <v>2482</v>
      </c>
      <c r="E167" s="108"/>
      <c r="F167" s="73" t="s">
        <v>122</v>
      </c>
      <c r="G167" s="73" t="s">
        <v>54</v>
      </c>
      <c r="H167" s="73">
        <f t="shared" si="23"/>
        <v>5</v>
      </c>
      <c r="I167" s="73">
        <f t="shared" si="21"/>
        <v>0</v>
      </c>
      <c r="J167" s="92">
        <f t="shared" si="22"/>
        <v>0</v>
      </c>
      <c r="K167" s="92" t="s">
        <v>522</v>
      </c>
      <c r="L167" s="92" t="s">
        <v>55</v>
      </c>
      <c r="M167" s="92" t="s">
        <v>55</v>
      </c>
      <c r="N167" s="73" t="s">
        <v>55</v>
      </c>
      <c r="O167" s="42" t="s">
        <v>482</v>
      </c>
      <c r="P167" s="42" t="s">
        <v>212</v>
      </c>
      <c r="Q167" s="75"/>
    </row>
    <row r="168" spans="1:17" ht="30" x14ac:dyDescent="0.25">
      <c r="A168" s="73" t="s">
        <v>523</v>
      </c>
      <c r="B168" s="74" t="s">
        <v>524</v>
      </c>
      <c r="C168" s="73">
        <v>3</v>
      </c>
      <c r="D168" s="19" t="s">
        <v>2482</v>
      </c>
      <c r="E168" s="108"/>
      <c r="F168" s="73" t="s">
        <v>99</v>
      </c>
      <c r="G168" s="73" t="s">
        <v>68</v>
      </c>
      <c r="H168" s="73">
        <f t="shared" si="23"/>
        <v>3</v>
      </c>
      <c r="I168" s="73">
        <f t="shared" si="21"/>
        <v>0</v>
      </c>
      <c r="J168" s="92">
        <f t="shared" si="22"/>
        <v>0</v>
      </c>
      <c r="K168" s="92" t="s">
        <v>525</v>
      </c>
      <c r="L168" s="92" t="s">
        <v>55</v>
      </c>
      <c r="M168" s="92" t="s">
        <v>55</v>
      </c>
      <c r="N168" s="73" t="s">
        <v>55</v>
      </c>
      <c r="O168" s="73"/>
      <c r="P168" s="73"/>
      <c r="Q168" s="75"/>
    </row>
    <row r="169" spans="1:17" ht="30" x14ac:dyDescent="0.25">
      <c r="A169" s="73" t="s">
        <v>526</v>
      </c>
      <c r="B169" s="74" t="s">
        <v>527</v>
      </c>
      <c r="C169" s="73">
        <v>3</v>
      </c>
      <c r="D169" s="19" t="s">
        <v>2482</v>
      </c>
      <c r="E169" s="108"/>
      <c r="F169" s="73" t="s">
        <v>473</v>
      </c>
      <c r="G169" s="73" t="s">
        <v>68</v>
      </c>
      <c r="H169" s="73">
        <f t="shared" si="23"/>
        <v>3</v>
      </c>
      <c r="I169" s="73">
        <f t="shared" si="21"/>
        <v>0</v>
      </c>
      <c r="J169" s="73">
        <f t="shared" si="22"/>
        <v>0</v>
      </c>
      <c r="K169" s="73" t="s">
        <v>55</v>
      </c>
      <c r="L169" s="73" t="s">
        <v>528</v>
      </c>
      <c r="M169" s="73" t="s">
        <v>55</v>
      </c>
      <c r="N169" s="73" t="s">
        <v>55</v>
      </c>
      <c r="O169" s="73" t="s">
        <v>277</v>
      </c>
      <c r="P169" s="73"/>
      <c r="Q169" s="75"/>
    </row>
    <row r="170" spans="1:17" ht="30" x14ac:dyDescent="0.25">
      <c r="A170" s="73" t="s">
        <v>529</v>
      </c>
      <c r="B170" s="74" t="s">
        <v>530</v>
      </c>
      <c r="C170" s="73">
        <v>3</v>
      </c>
      <c r="D170" s="19" t="s">
        <v>2482</v>
      </c>
      <c r="E170" s="108"/>
      <c r="F170" s="73" t="s">
        <v>122</v>
      </c>
      <c r="G170" s="73" t="s">
        <v>68</v>
      </c>
      <c r="H170" s="73">
        <f t="shared" si="23"/>
        <v>3</v>
      </c>
      <c r="I170" s="73">
        <f t="shared" si="21"/>
        <v>0</v>
      </c>
      <c r="J170" s="73">
        <f t="shared" si="22"/>
        <v>0</v>
      </c>
      <c r="K170" s="73" t="s">
        <v>55</v>
      </c>
      <c r="L170" s="73" t="s">
        <v>55</v>
      </c>
      <c r="M170" s="73" t="s">
        <v>55</v>
      </c>
      <c r="N170" s="73" t="s">
        <v>55</v>
      </c>
      <c r="O170" s="73" t="s">
        <v>531</v>
      </c>
      <c r="P170" s="73" t="s">
        <v>212</v>
      </c>
      <c r="Q170" s="75"/>
    </row>
    <row r="171" spans="1:17" ht="30" x14ac:dyDescent="0.25">
      <c r="A171" s="73" t="s">
        <v>532</v>
      </c>
      <c r="B171" s="74" t="s">
        <v>533</v>
      </c>
      <c r="C171" s="73">
        <v>4</v>
      </c>
      <c r="D171" s="19" t="s">
        <v>2482</v>
      </c>
      <c r="E171" s="71">
        <f>(COUNTIF(D171:D171,$D$180)+(COUNTIF(D171:D171,$D$183)*0.5))/(COUNTA(D171:D171)-COUNTIF(D171:D171,$D$182))</f>
        <v>0</v>
      </c>
      <c r="F171" s="73" t="s">
        <v>473</v>
      </c>
      <c r="G171" s="73" t="s">
        <v>68</v>
      </c>
      <c r="H171" s="73">
        <f t="shared" si="23"/>
        <v>3</v>
      </c>
      <c r="I171" s="73">
        <f t="shared" si="21"/>
        <v>0</v>
      </c>
      <c r="J171" s="73">
        <f t="shared" si="22"/>
        <v>0</v>
      </c>
      <c r="K171" s="73" t="s">
        <v>525</v>
      </c>
      <c r="L171" s="73" t="s">
        <v>55</v>
      </c>
      <c r="M171" s="73" t="s">
        <v>55</v>
      </c>
      <c r="N171" s="73" t="s">
        <v>55</v>
      </c>
      <c r="O171" s="73"/>
      <c r="P171" s="73"/>
      <c r="Q171" s="75"/>
    </row>
    <row r="172" spans="1:17" ht="30" x14ac:dyDescent="0.25">
      <c r="A172" s="38"/>
      <c r="B172" s="39"/>
      <c r="C172" s="40"/>
      <c r="D172" s="24"/>
      <c r="E172" s="24"/>
      <c r="F172" s="38"/>
      <c r="G172" s="25" t="s">
        <v>79</v>
      </c>
      <c r="H172" s="24">
        <f>SUM(H160:H171)</f>
        <v>46</v>
      </c>
      <c r="I172" s="24" t="s">
        <v>80</v>
      </c>
      <c r="J172" s="24">
        <f>SUM(J160:J171)</f>
        <v>0</v>
      </c>
      <c r="K172" s="41"/>
      <c r="L172" s="41"/>
      <c r="M172" s="41"/>
      <c r="N172" s="41"/>
      <c r="O172" s="41"/>
      <c r="P172" s="41"/>
      <c r="Q172" s="38"/>
    </row>
    <row r="174" spans="1:17" ht="45" x14ac:dyDescent="0.25">
      <c r="K174" s="12" t="s">
        <v>534</v>
      </c>
    </row>
    <row r="178" spans="4:5" hidden="1" x14ac:dyDescent="0.25"/>
    <row r="179" spans="4:5" ht="30" hidden="1" x14ac:dyDescent="0.25">
      <c r="D179" s="77" t="s">
        <v>2482</v>
      </c>
    </row>
    <row r="180" spans="4:5" hidden="1" x14ac:dyDescent="0.25">
      <c r="D180" s="45" t="s">
        <v>42</v>
      </c>
      <c r="E180" s="2"/>
    </row>
    <row r="181" spans="4:5" ht="30" hidden="1" x14ac:dyDescent="0.25">
      <c r="D181" s="46" t="s">
        <v>52</v>
      </c>
      <c r="E181" s="2"/>
    </row>
    <row r="182" spans="4:5" ht="30" hidden="1" x14ac:dyDescent="0.25">
      <c r="D182" s="4" t="s">
        <v>535</v>
      </c>
      <c r="E182" s="2"/>
    </row>
    <row r="183" spans="4:5" ht="30" hidden="1" x14ac:dyDescent="0.25">
      <c r="D183" s="47" t="s">
        <v>536</v>
      </c>
      <c r="E183" s="2"/>
    </row>
  </sheetData>
  <autoFilter ref="A1:Q172"/>
  <mergeCells count="33">
    <mergeCell ref="A84:Q84"/>
    <mergeCell ref="E43:E46"/>
    <mergeCell ref="E60:E72"/>
    <mergeCell ref="E80:E82"/>
    <mergeCell ref="E49:E59"/>
    <mergeCell ref="A48:Q48"/>
    <mergeCell ref="E73:E79"/>
    <mergeCell ref="E36:E42"/>
    <mergeCell ref="E16:E22"/>
    <mergeCell ref="A2:Q2"/>
    <mergeCell ref="E3:E6"/>
    <mergeCell ref="E7:E10"/>
    <mergeCell ref="E11:E12"/>
    <mergeCell ref="A15:Q15"/>
    <mergeCell ref="E23:E35"/>
    <mergeCell ref="E85:E91"/>
    <mergeCell ref="E129:E131"/>
    <mergeCell ref="E132:E135"/>
    <mergeCell ref="E136:E137"/>
    <mergeCell ref="E140:E143"/>
    <mergeCell ref="E106:E114"/>
    <mergeCell ref="E124:E128"/>
    <mergeCell ref="E115:E121"/>
    <mergeCell ref="A123:Q123"/>
    <mergeCell ref="E92:E105"/>
    <mergeCell ref="E162:E164"/>
    <mergeCell ref="E165:E170"/>
    <mergeCell ref="A159:Q159"/>
    <mergeCell ref="E144:E151"/>
    <mergeCell ref="A139:Q139"/>
    <mergeCell ref="E152:E155"/>
    <mergeCell ref="E156:E157"/>
    <mergeCell ref="E160:E161"/>
  </mergeCells>
  <phoneticPr fontId="20" type="noConversion"/>
  <conditionalFormatting sqref="D1:D1048576">
    <cfRule type="containsText" dxfId="142" priority="1" operator="containsText" text="Частично">
      <formula>NOT(ISERROR(SEARCH("Частично",D1)))</formula>
    </cfRule>
    <cfRule type="containsText" dxfId="141" priority="2" operator="containsText" text="Не применимо">
      <formula>NOT(ISERROR(SEARCH("Не применимо",D1)))</formula>
    </cfRule>
    <cfRule type="beginsWith" dxfId="140" priority="3" operator="beginsWith" text="Не выполняется">
      <formula>LEFT(D1,LEN("Не выполняется"))="Не выполняется"</formula>
    </cfRule>
    <cfRule type="beginsWith" dxfId="139" priority="4" operator="beginsWith" text="Выполняется">
      <formula>LEFT(D1,LEN("Выполняется"))="Выполняется"</formula>
    </cfRule>
    <cfRule type="containsText" dxfId="138" priority="5" operator="containsText" text="Не заполнено">
      <formula>NOT(ISERROR(SEARCH("Не заполнено",D1)))</formula>
    </cfRule>
  </conditionalFormatting>
  <conditionalFormatting sqref="E3">
    <cfRule type="containsText" dxfId="137" priority="97" operator="containsText" text="Неверно">
      <formula>NOT(ISERROR(SEARCH("Неверно",E3)))</formula>
    </cfRule>
    <cfRule type="containsText" dxfId="136" priority="98" operator="containsText" text="Частично">
      <formula>NOT(ISERROR(SEARCH("Частично",E3)))</formula>
    </cfRule>
    <cfRule type="beginsWith" dxfId="135" priority="99" operator="beginsWith" text="Выполняется">
      <formula>LEFT(E3,LEN("Выполняется"))="Выполняется"</formula>
    </cfRule>
    <cfRule type="containsText" dxfId="134" priority="100" operator="containsText" text="Верно">
      <formula>NOT(ISERROR(SEARCH("Верно",E3)))</formula>
    </cfRule>
    <cfRule type="containsText" dxfId="133" priority="101" operator="containsText" text="Не выполняется">
      <formula>NOT(ISERROR(SEARCH("Не выполняется",E3)))</formula>
    </cfRule>
  </conditionalFormatting>
  <conditionalFormatting sqref="E7">
    <cfRule type="containsText" dxfId="132" priority="92" operator="containsText" text="Неверно">
      <formula>NOT(ISERROR(SEARCH("Неверно",E7)))</formula>
    </cfRule>
    <cfRule type="containsText" dxfId="131" priority="93" operator="containsText" text="Частично">
      <formula>NOT(ISERROR(SEARCH("Частично",E7)))</formula>
    </cfRule>
    <cfRule type="beginsWith" dxfId="130" priority="94" operator="beginsWith" text="Выполняется">
      <formula>LEFT(E7,LEN("Выполняется"))="Выполняется"</formula>
    </cfRule>
    <cfRule type="containsText" dxfId="129" priority="95" operator="containsText" text="Верно">
      <formula>NOT(ISERROR(SEARCH("Верно",E7)))</formula>
    </cfRule>
    <cfRule type="containsText" dxfId="128" priority="96" operator="containsText" text="Не выполняется">
      <formula>NOT(ISERROR(SEARCH("Не выполняется",E7)))</formula>
    </cfRule>
  </conditionalFormatting>
  <conditionalFormatting sqref="E11">
    <cfRule type="containsText" dxfId="127" priority="87" operator="containsText" text="Неверно">
      <formula>NOT(ISERROR(SEARCH("Неверно",E11)))</formula>
    </cfRule>
    <cfRule type="containsText" dxfId="126" priority="88" operator="containsText" text="Частично">
      <formula>NOT(ISERROR(SEARCH("Частично",E11)))</formula>
    </cfRule>
    <cfRule type="beginsWith" dxfId="125" priority="89" operator="beginsWith" text="Выполняется">
      <formula>LEFT(E11,LEN("Выполняется"))="Выполняется"</formula>
    </cfRule>
    <cfRule type="containsText" dxfId="124" priority="90" operator="containsText" text="Верно">
      <formula>NOT(ISERROR(SEARCH("Верно",E11)))</formula>
    </cfRule>
    <cfRule type="containsText" dxfId="123" priority="91" operator="containsText" text="Не выполняется">
      <formula>NOT(ISERROR(SEARCH("Не выполняется",E11)))</formula>
    </cfRule>
  </conditionalFormatting>
  <conditionalFormatting sqref="E13">
    <cfRule type="containsText" dxfId="122" priority="82" operator="containsText" text="Неверно">
      <formula>NOT(ISERROR(SEARCH("Неверно",E13)))</formula>
    </cfRule>
    <cfRule type="containsText" dxfId="121" priority="83" operator="containsText" text="Частично">
      <formula>NOT(ISERROR(SEARCH("Частично",E13)))</formula>
    </cfRule>
    <cfRule type="beginsWith" dxfId="120" priority="84" operator="beginsWith" text="Выполняется">
      <formula>LEFT(E13,LEN("Выполняется"))="Выполняется"</formula>
    </cfRule>
    <cfRule type="containsText" dxfId="119" priority="85" operator="containsText" text="Верно">
      <formula>NOT(ISERROR(SEARCH("Верно",E13)))</formula>
    </cfRule>
    <cfRule type="containsText" dxfId="118" priority="86" operator="containsText" text="Не выполняется">
      <formula>NOT(ISERROR(SEARCH("Не выполняется",E13)))</formula>
    </cfRule>
  </conditionalFormatting>
  <conditionalFormatting sqref="E14">
    <cfRule type="beginsWith" dxfId="117" priority="79" operator="beginsWith" text="Частично выполняется">
      <formula>LEFT(E14,LEN("Частично выполняется"))="Частично выполняется"</formula>
    </cfRule>
    <cfRule type="beginsWith" dxfId="116" priority="80" operator="beginsWith" text="Выполняется">
      <formula>LEFT(E14,LEN("Выполняется"))="Выполняется"</formula>
    </cfRule>
    <cfRule type="beginsWith" dxfId="115" priority="81" operator="beginsWith" text="Не выполняется">
      <formula>LEFT(E14,LEN("Не выполняется"))="Не выполняется"</formula>
    </cfRule>
  </conditionalFormatting>
  <conditionalFormatting sqref="E16">
    <cfRule type="containsText" dxfId="114" priority="46" operator="containsText" text="Неверно">
      <formula>NOT(ISERROR(SEARCH("Неверно",E16)))</formula>
    </cfRule>
    <cfRule type="containsText" dxfId="113" priority="47" operator="containsText" text="Частично">
      <formula>NOT(ISERROR(SEARCH("Частично",E16)))</formula>
    </cfRule>
    <cfRule type="beginsWith" dxfId="112" priority="48" operator="beginsWith" text="Выполняется">
      <formula>LEFT(E16,LEN("Выполняется"))="Выполняется"</formula>
    </cfRule>
    <cfRule type="containsText" dxfId="111" priority="49" operator="containsText" text="Верно">
      <formula>NOT(ISERROR(SEARCH("Верно",E16)))</formula>
    </cfRule>
    <cfRule type="containsText" dxfId="110" priority="50" operator="containsText" text="Не выполняется">
      <formula>NOT(ISERROR(SEARCH("Не выполняется",E16)))</formula>
    </cfRule>
  </conditionalFormatting>
  <conditionalFormatting sqref="E23">
    <cfRule type="containsText" dxfId="109" priority="41" operator="containsText" text="Неверно">
      <formula>NOT(ISERROR(SEARCH("Неверно",E23)))</formula>
    </cfRule>
    <cfRule type="containsText" dxfId="108" priority="42" operator="containsText" text="Частично">
      <formula>NOT(ISERROR(SEARCH("Частично",E23)))</formula>
    </cfRule>
    <cfRule type="beginsWith" dxfId="107" priority="43" operator="beginsWith" text="Выполняется">
      <formula>LEFT(E23,LEN("Выполняется"))="Выполняется"</formula>
    </cfRule>
    <cfRule type="containsText" dxfId="106" priority="44" operator="containsText" text="Верно">
      <formula>NOT(ISERROR(SEARCH("Верно",E23)))</formula>
    </cfRule>
    <cfRule type="containsText" dxfId="105" priority="45" operator="containsText" text="Не выполняется">
      <formula>NOT(ISERROR(SEARCH("Не выполняется",E23)))</formula>
    </cfRule>
  </conditionalFormatting>
  <conditionalFormatting sqref="E36">
    <cfRule type="containsText" dxfId="104" priority="36" operator="containsText" text="Неверно">
      <formula>NOT(ISERROR(SEARCH("Неверно",E36)))</formula>
    </cfRule>
    <cfRule type="containsText" dxfId="103" priority="37" operator="containsText" text="Частично">
      <formula>NOT(ISERROR(SEARCH("Частично",E36)))</formula>
    </cfRule>
    <cfRule type="beginsWith" dxfId="102" priority="38" operator="beginsWith" text="Выполняется">
      <formula>LEFT(E36,LEN("Выполняется"))="Выполняется"</formula>
    </cfRule>
    <cfRule type="containsText" dxfId="101" priority="39" operator="containsText" text="Верно">
      <formula>NOT(ISERROR(SEARCH("Верно",E36)))</formula>
    </cfRule>
    <cfRule type="containsText" dxfId="100" priority="40" operator="containsText" text="Не выполняется">
      <formula>NOT(ISERROR(SEARCH("Не выполняется",E36)))</formula>
    </cfRule>
  </conditionalFormatting>
  <conditionalFormatting sqref="E43">
    <cfRule type="containsText" dxfId="99" priority="31" operator="containsText" text="Неверно">
      <formula>NOT(ISERROR(SEARCH("Неверно",E43)))</formula>
    </cfRule>
    <cfRule type="containsText" dxfId="98" priority="32" operator="containsText" text="Частично">
      <formula>NOT(ISERROR(SEARCH("Частично",E43)))</formula>
    </cfRule>
    <cfRule type="beginsWith" dxfId="97" priority="33" operator="beginsWith" text="Выполняется">
      <formula>LEFT(E43,LEN("Выполняется"))="Выполняется"</formula>
    </cfRule>
    <cfRule type="containsText" dxfId="96" priority="34" operator="containsText" text="Верно">
      <formula>NOT(ISERROR(SEARCH("Верно",E43)))</formula>
    </cfRule>
    <cfRule type="containsText" dxfId="95" priority="35" operator="containsText" text="Не выполняется">
      <formula>NOT(ISERROR(SEARCH("Не выполняется",E43)))</formula>
    </cfRule>
  </conditionalFormatting>
  <conditionalFormatting sqref="E49">
    <cfRule type="containsText" dxfId="94" priority="117" operator="containsText" text="Неверно">
      <formula>NOT(ISERROR(SEARCH("Неверно",E49)))</formula>
    </cfRule>
    <cfRule type="containsText" dxfId="93" priority="118" operator="containsText" text="Частично">
      <formula>NOT(ISERROR(SEARCH("Частично",E49)))</formula>
    </cfRule>
    <cfRule type="beginsWith" dxfId="92" priority="119" operator="beginsWith" text="Выполняется">
      <formula>LEFT(E49,LEN("Выполняется"))="Выполняется"</formula>
    </cfRule>
    <cfRule type="containsText" dxfId="91" priority="120" operator="containsText" text="Верно">
      <formula>NOT(ISERROR(SEARCH("Верно",E49)))</formula>
    </cfRule>
    <cfRule type="containsText" dxfId="90" priority="121" operator="containsText" text="Не выполняется">
      <formula>NOT(ISERROR(SEARCH("Не выполняется",E49)))</formula>
    </cfRule>
  </conditionalFormatting>
  <conditionalFormatting sqref="E60">
    <cfRule type="containsText" dxfId="89" priority="112" operator="containsText" text="Неверно">
      <formula>NOT(ISERROR(SEARCH("Неверно",E60)))</formula>
    </cfRule>
    <cfRule type="containsText" dxfId="88" priority="113" operator="containsText" text="Частично">
      <formula>NOT(ISERROR(SEARCH("Частично",E60)))</formula>
    </cfRule>
    <cfRule type="beginsWith" dxfId="87" priority="114" operator="beginsWith" text="Выполняется">
      <formula>LEFT(E60,LEN("Выполняется"))="Выполняется"</formula>
    </cfRule>
    <cfRule type="containsText" dxfId="86" priority="115" operator="containsText" text="Верно">
      <formula>NOT(ISERROR(SEARCH("Верно",E60)))</formula>
    </cfRule>
    <cfRule type="containsText" dxfId="85" priority="116" operator="containsText" text="Не выполняется">
      <formula>NOT(ISERROR(SEARCH("Не выполняется",E60)))</formula>
    </cfRule>
  </conditionalFormatting>
  <conditionalFormatting sqref="E73">
    <cfRule type="containsText" dxfId="84" priority="107" operator="containsText" text="Неверно">
      <formula>NOT(ISERROR(SEARCH("Неверно",E73)))</formula>
    </cfRule>
    <cfRule type="containsText" dxfId="83" priority="108" operator="containsText" text="Частично">
      <formula>NOT(ISERROR(SEARCH("Частично",E73)))</formula>
    </cfRule>
    <cfRule type="beginsWith" dxfId="82" priority="109" operator="beginsWith" text="Выполняется">
      <formula>LEFT(E73,LEN("Выполняется"))="Выполняется"</formula>
    </cfRule>
    <cfRule type="containsText" dxfId="81" priority="110" operator="containsText" text="Верно">
      <formula>NOT(ISERROR(SEARCH("Верно",E73)))</formula>
    </cfRule>
    <cfRule type="containsText" dxfId="80" priority="111" operator="containsText" text="Не выполняется">
      <formula>NOT(ISERROR(SEARCH("Не выполняется",E73)))</formula>
    </cfRule>
  </conditionalFormatting>
  <conditionalFormatting sqref="E80">
    <cfRule type="containsText" dxfId="79" priority="102" operator="containsText" text="Неверно">
      <formula>NOT(ISERROR(SEARCH("Неверно",E80)))</formula>
    </cfRule>
    <cfRule type="containsText" dxfId="78" priority="103" operator="containsText" text="Частично">
      <formula>NOT(ISERROR(SEARCH("Частично",E80)))</formula>
    </cfRule>
    <cfRule type="beginsWith" dxfId="77" priority="104" operator="beginsWith" text="Выполняется">
      <formula>LEFT(E80,LEN("Выполняется"))="Выполняется"</formula>
    </cfRule>
    <cfRule type="containsText" dxfId="76" priority="105" operator="containsText" text="Верно">
      <formula>NOT(ISERROR(SEARCH("Верно",E80)))</formula>
    </cfRule>
    <cfRule type="containsText" dxfId="75" priority="106" operator="containsText" text="Не выполняется">
      <formula>NOT(ISERROR(SEARCH("Не выполняется",E80)))</formula>
    </cfRule>
  </conditionalFormatting>
  <conditionalFormatting sqref="E85">
    <cfRule type="containsText" dxfId="74" priority="70" operator="containsText" text="Неверно">
      <formula>NOT(ISERROR(SEARCH("Неверно",E85)))</formula>
    </cfRule>
    <cfRule type="containsText" dxfId="73" priority="71" operator="containsText" text="Частично">
      <formula>NOT(ISERROR(SEARCH("Частично",E85)))</formula>
    </cfRule>
    <cfRule type="beginsWith" dxfId="72" priority="72" operator="beginsWith" text="Выполняется">
      <formula>LEFT(E85,LEN("Выполняется"))="Выполняется"</formula>
    </cfRule>
    <cfRule type="containsText" dxfId="71" priority="73" operator="containsText" text="Верно">
      <formula>NOT(ISERROR(SEARCH("Верно",E85)))</formula>
    </cfRule>
    <cfRule type="containsText" dxfId="70" priority="74" operator="containsText" text="Не выполняется">
      <formula>NOT(ISERROR(SEARCH("Не выполняется",E85)))</formula>
    </cfRule>
  </conditionalFormatting>
  <conditionalFormatting sqref="E92">
    <cfRule type="containsText" dxfId="69" priority="65" operator="containsText" text="Неверно">
      <formula>NOT(ISERROR(SEARCH("Неверно",E92)))</formula>
    </cfRule>
    <cfRule type="containsText" dxfId="68" priority="66" operator="containsText" text="Частично">
      <formula>NOT(ISERROR(SEARCH("Частично",E92)))</formula>
    </cfRule>
    <cfRule type="beginsWith" dxfId="67" priority="67" operator="beginsWith" text="Выполняется">
      <formula>LEFT(E92,LEN("Выполняется"))="Выполняется"</formula>
    </cfRule>
    <cfRule type="containsText" dxfId="66" priority="68" operator="containsText" text="Верно">
      <formula>NOT(ISERROR(SEARCH("Верно",E92)))</formula>
    </cfRule>
    <cfRule type="containsText" dxfId="65" priority="69" operator="containsText" text="Не выполняется">
      <formula>NOT(ISERROR(SEARCH("Не выполняется",E92)))</formula>
    </cfRule>
  </conditionalFormatting>
  <conditionalFormatting sqref="E106">
    <cfRule type="containsText" dxfId="64" priority="60" operator="containsText" text="Неверно">
      <formula>NOT(ISERROR(SEARCH("Неверно",E106)))</formula>
    </cfRule>
    <cfRule type="containsText" dxfId="63" priority="61" operator="containsText" text="Частично">
      <formula>NOT(ISERROR(SEARCH("Частично",E106)))</formula>
    </cfRule>
    <cfRule type="beginsWith" dxfId="62" priority="62" operator="beginsWith" text="Выполняется">
      <formula>LEFT(E106,LEN("Выполняется"))="Выполняется"</formula>
    </cfRule>
    <cfRule type="containsText" dxfId="61" priority="63" operator="containsText" text="Верно">
      <formula>NOT(ISERROR(SEARCH("Верно",E106)))</formula>
    </cfRule>
    <cfRule type="containsText" dxfId="60" priority="64" operator="containsText" text="Не выполняется">
      <formula>NOT(ISERROR(SEARCH("Не выполняется",E106)))</formula>
    </cfRule>
  </conditionalFormatting>
  <conditionalFormatting sqref="E115">
    <cfRule type="containsText" dxfId="59" priority="55" operator="containsText" text="Неверно">
      <formula>NOT(ISERROR(SEARCH("Неверно",E115)))</formula>
    </cfRule>
    <cfRule type="containsText" dxfId="58" priority="56" operator="containsText" text="Частично">
      <formula>NOT(ISERROR(SEARCH("Частично",E115)))</formula>
    </cfRule>
    <cfRule type="beginsWith" dxfId="57" priority="57" operator="beginsWith" text="Выполняется">
      <formula>LEFT(E115,LEN("Выполняется"))="Выполняется"</formula>
    </cfRule>
    <cfRule type="containsText" dxfId="56" priority="58" operator="containsText" text="Верно">
      <formula>NOT(ISERROR(SEARCH("Верно",E115)))</formula>
    </cfRule>
    <cfRule type="containsText" dxfId="55" priority="59" operator="containsText" text="Не выполняется">
      <formula>NOT(ISERROR(SEARCH("Не выполняется",E115)))</formula>
    </cfRule>
  </conditionalFormatting>
  <conditionalFormatting sqref="E124">
    <cfRule type="containsText" dxfId="54" priority="152" operator="containsText" text="Неверно">
      <formula>NOT(ISERROR(SEARCH("Неверно",E124)))</formula>
    </cfRule>
    <cfRule type="containsText" dxfId="53" priority="153" operator="containsText" text="Частично">
      <formula>NOT(ISERROR(SEARCH("Частично",E124)))</formula>
    </cfRule>
    <cfRule type="beginsWith" dxfId="52" priority="154" operator="beginsWith" text="Выполняется">
      <formula>LEFT(E124,LEN("Выполняется"))="Выполняется"</formula>
    </cfRule>
    <cfRule type="containsText" dxfId="51" priority="155" operator="containsText" text="Верно">
      <formula>NOT(ISERROR(SEARCH("Верно",E124)))</formula>
    </cfRule>
    <cfRule type="containsText" dxfId="50" priority="156" operator="containsText" text="Не выполняется">
      <formula>NOT(ISERROR(SEARCH("Не выполняется",E124)))</formula>
    </cfRule>
  </conditionalFormatting>
  <conditionalFormatting sqref="E129">
    <cfRule type="containsText" dxfId="49" priority="147" operator="containsText" text="Неверно">
      <formula>NOT(ISERROR(SEARCH("Неверно",E129)))</formula>
    </cfRule>
    <cfRule type="containsText" dxfId="48" priority="148" operator="containsText" text="Частично">
      <formula>NOT(ISERROR(SEARCH("Частично",E129)))</formula>
    </cfRule>
    <cfRule type="beginsWith" dxfId="47" priority="149" operator="beginsWith" text="Выполняется">
      <formula>LEFT(E129,LEN("Выполняется"))="Выполняется"</formula>
    </cfRule>
    <cfRule type="containsText" dxfId="46" priority="150" operator="containsText" text="Верно">
      <formula>NOT(ISERROR(SEARCH("Верно",E129)))</formula>
    </cfRule>
    <cfRule type="containsText" dxfId="45" priority="151" operator="containsText" text="Не выполняется">
      <formula>NOT(ISERROR(SEARCH("Не выполняется",E129)))</formula>
    </cfRule>
  </conditionalFormatting>
  <conditionalFormatting sqref="E132">
    <cfRule type="containsText" dxfId="44" priority="142" operator="containsText" text="Неверно">
      <formula>NOT(ISERROR(SEARCH("Неверно",E132)))</formula>
    </cfRule>
    <cfRule type="containsText" dxfId="43" priority="143" operator="containsText" text="Частично">
      <formula>NOT(ISERROR(SEARCH("Частично",E132)))</formula>
    </cfRule>
    <cfRule type="beginsWith" dxfId="42" priority="144" operator="beginsWith" text="Выполняется">
      <formula>LEFT(E132,LEN("Выполняется"))="Выполняется"</formula>
    </cfRule>
    <cfRule type="containsText" dxfId="41" priority="145" operator="containsText" text="Верно">
      <formula>NOT(ISERROR(SEARCH("Верно",E132)))</formula>
    </cfRule>
    <cfRule type="containsText" dxfId="40" priority="146" operator="containsText" text="Не выполняется">
      <formula>NOT(ISERROR(SEARCH("Не выполняется",E132)))</formula>
    </cfRule>
  </conditionalFormatting>
  <conditionalFormatting sqref="E136">
    <cfRule type="containsText" dxfId="39" priority="137" operator="containsText" text="Неверно">
      <formula>NOT(ISERROR(SEARCH("Неверно",E136)))</formula>
    </cfRule>
    <cfRule type="containsText" dxfId="38" priority="138" operator="containsText" text="Частично">
      <formula>NOT(ISERROR(SEARCH("Частично",E136)))</formula>
    </cfRule>
    <cfRule type="beginsWith" dxfId="37" priority="139" operator="beginsWith" text="Выполняется">
      <formula>LEFT(E136,LEN("Выполняется"))="Выполняется"</formula>
    </cfRule>
    <cfRule type="containsText" dxfId="36" priority="140" operator="containsText" text="Верно">
      <formula>NOT(ISERROR(SEARCH("Верно",E136)))</formula>
    </cfRule>
    <cfRule type="containsText" dxfId="35" priority="141" operator="containsText" text="Не выполняется">
      <formula>NOT(ISERROR(SEARCH("Не выполняется",E136)))</formula>
    </cfRule>
  </conditionalFormatting>
  <conditionalFormatting sqref="E140">
    <cfRule type="containsText" dxfId="34" priority="132" operator="containsText" text="Неверно">
      <formula>NOT(ISERROR(SEARCH("Неверно",E140)))</formula>
    </cfRule>
    <cfRule type="containsText" dxfId="33" priority="133" operator="containsText" text="Частично">
      <formula>NOT(ISERROR(SEARCH("Частично",E140)))</formula>
    </cfRule>
    <cfRule type="beginsWith" dxfId="32" priority="134" operator="beginsWith" text="Выполняется">
      <formula>LEFT(E140,LEN("Выполняется"))="Выполняется"</formula>
    </cfRule>
    <cfRule type="containsText" dxfId="31" priority="135" operator="containsText" text="Верно">
      <formula>NOT(ISERROR(SEARCH("Верно",E140)))</formula>
    </cfRule>
    <cfRule type="containsText" dxfId="30" priority="136" operator="containsText" text="Не выполняется">
      <formula>NOT(ISERROR(SEARCH("Не выполняется",E140)))</formula>
    </cfRule>
  </conditionalFormatting>
  <conditionalFormatting sqref="E144">
    <cfRule type="containsText" dxfId="29" priority="127" operator="containsText" text="Неверно">
      <formula>NOT(ISERROR(SEARCH("Неверно",E144)))</formula>
    </cfRule>
    <cfRule type="containsText" dxfId="28" priority="128" operator="containsText" text="Частично">
      <formula>NOT(ISERROR(SEARCH("Частично",E144)))</formula>
    </cfRule>
    <cfRule type="beginsWith" dxfId="27" priority="129" operator="beginsWith" text="Выполняется">
      <formula>LEFT(E144,LEN("Выполняется"))="Выполняется"</formula>
    </cfRule>
    <cfRule type="containsText" dxfId="26" priority="130" operator="containsText" text="Верно">
      <formula>NOT(ISERROR(SEARCH("Верно",E144)))</formula>
    </cfRule>
    <cfRule type="containsText" dxfId="25" priority="131" operator="containsText" text="Не выполняется">
      <formula>NOT(ISERROR(SEARCH("Не выполняется",E144)))</formula>
    </cfRule>
  </conditionalFormatting>
  <conditionalFormatting sqref="E156">
    <cfRule type="containsText" dxfId="24" priority="122" operator="containsText" text="Неверно">
      <formula>NOT(ISERROR(SEARCH("Неверно",E156)))</formula>
    </cfRule>
    <cfRule type="containsText" dxfId="23" priority="123" operator="containsText" text="Частично">
      <formula>NOT(ISERROR(SEARCH("Частично",E156)))</formula>
    </cfRule>
    <cfRule type="beginsWith" dxfId="22" priority="124" operator="beginsWith" text="Выполняется">
      <formula>LEFT(E156,LEN("Выполняется"))="Выполняется"</formula>
    </cfRule>
    <cfRule type="containsText" dxfId="21" priority="125" operator="containsText" text="Верно">
      <formula>NOT(ISERROR(SEARCH("Верно",E156)))</formula>
    </cfRule>
    <cfRule type="containsText" dxfId="20" priority="126" operator="containsText" text="Не выполняется">
      <formula>NOT(ISERROR(SEARCH("Не выполняется",E156)))</formula>
    </cfRule>
  </conditionalFormatting>
  <conditionalFormatting sqref="E160">
    <cfRule type="containsText" dxfId="19" priority="172" operator="containsText" text="Неверно">
      <formula>NOT(ISERROR(SEARCH("Неверно",E160)))</formula>
    </cfRule>
    <cfRule type="containsText" dxfId="18" priority="173" operator="containsText" text="Частично">
      <formula>NOT(ISERROR(SEARCH("Частично",E160)))</formula>
    </cfRule>
    <cfRule type="beginsWith" dxfId="17" priority="174" operator="beginsWith" text="Выполняется">
      <formula>LEFT(E160,LEN("Выполняется"))="Выполняется"</formula>
    </cfRule>
    <cfRule type="containsText" dxfId="16" priority="175" operator="containsText" text="Верно">
      <formula>NOT(ISERROR(SEARCH("Верно",E160)))</formula>
    </cfRule>
    <cfRule type="containsText" dxfId="15" priority="176" operator="containsText" text="Не выполняется">
      <formula>NOT(ISERROR(SEARCH("Не выполняется",E160)))</formula>
    </cfRule>
  </conditionalFormatting>
  <conditionalFormatting sqref="E162">
    <cfRule type="containsText" dxfId="14" priority="167" operator="containsText" text="Неверно">
      <formula>NOT(ISERROR(SEARCH("Неверно",E162)))</formula>
    </cfRule>
    <cfRule type="containsText" dxfId="13" priority="168" operator="containsText" text="Частично">
      <formula>NOT(ISERROR(SEARCH("Частично",E162)))</formula>
    </cfRule>
    <cfRule type="beginsWith" dxfId="12" priority="169" operator="beginsWith" text="Выполняется">
      <formula>LEFT(E162,LEN("Выполняется"))="Выполняется"</formula>
    </cfRule>
    <cfRule type="containsText" dxfId="11" priority="170" operator="containsText" text="Верно">
      <formula>NOT(ISERROR(SEARCH("Верно",E162)))</formula>
    </cfRule>
    <cfRule type="containsText" dxfId="10" priority="171" operator="containsText" text="Не выполняется">
      <formula>NOT(ISERROR(SEARCH("Не выполняется",E162)))</formula>
    </cfRule>
  </conditionalFormatting>
  <conditionalFormatting sqref="E165">
    <cfRule type="containsText" dxfId="9" priority="162" operator="containsText" text="Неверно">
      <formula>NOT(ISERROR(SEARCH("Неверно",E165)))</formula>
    </cfRule>
    <cfRule type="containsText" dxfId="8" priority="163" operator="containsText" text="Частично">
      <formula>NOT(ISERROR(SEARCH("Частично",E165)))</formula>
    </cfRule>
    <cfRule type="beginsWith" dxfId="7" priority="164" operator="beginsWith" text="Выполняется">
      <formula>LEFT(E165,LEN("Выполняется"))="Выполняется"</formula>
    </cfRule>
    <cfRule type="containsText" dxfId="6" priority="165" operator="containsText" text="Верно">
      <formula>NOT(ISERROR(SEARCH("Верно",E165)))</formula>
    </cfRule>
    <cfRule type="containsText" dxfId="5" priority="166" operator="containsText" text="Не выполняется">
      <formula>NOT(ISERROR(SEARCH("Не выполняется",E165)))</formula>
    </cfRule>
  </conditionalFormatting>
  <conditionalFormatting sqref="E171">
    <cfRule type="containsText" dxfId="4" priority="157" operator="containsText" text="Неверно">
      <formula>NOT(ISERROR(SEARCH("Неверно",E171)))</formula>
    </cfRule>
    <cfRule type="containsText" dxfId="3" priority="158" operator="containsText" text="Частично">
      <formula>NOT(ISERROR(SEARCH("Частично",E171)))</formula>
    </cfRule>
    <cfRule type="beginsWith" dxfId="2" priority="159" operator="beginsWith" text="Выполняется">
      <formula>LEFT(E171,LEN("Выполняется"))="Выполняется"</formula>
    </cfRule>
    <cfRule type="containsText" dxfId="1" priority="160" operator="containsText" text="Верно">
      <formula>NOT(ISERROR(SEARCH("Верно",E171)))</formula>
    </cfRule>
    <cfRule type="containsText" dxfId="0" priority="161" operator="containsText" text="Не выполняется">
      <formula>NOT(ISERROR(SEARCH("Не выполняется",E171)))</formula>
    </cfRule>
  </conditionalFormatting>
  <dataValidations disablePrompts="1" count="1">
    <dataValidation type="list" allowBlank="1" showInputMessage="1" showErrorMessage="1" sqref="D49:D82 D85:D121 D16:D46 D3:D13 D140:D157 D124:D137 D160:D171">
      <formula1>$D$179:$D$183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64"/>
  <sheetViews>
    <sheetView zoomScale="70" zoomScaleNormal="70" workbookViewId="0">
      <pane xSplit="1" ySplit="1" topLeftCell="B38" activePane="bottomRight" state="frozen"/>
      <selection pane="topRight" activeCell="B1" sqref="B1"/>
      <selection pane="bottomLeft" activeCell="A2" sqref="A2"/>
      <selection pane="bottomRight" activeCell="J60" sqref="J60:K64"/>
    </sheetView>
  </sheetViews>
  <sheetFormatPr defaultColWidth="9.28515625" defaultRowHeight="15" x14ac:dyDescent="0.25"/>
  <cols>
    <col min="1" max="1" width="16.28515625" style="10" customWidth="1"/>
    <col min="2" max="2" width="12.28515625" style="10" customWidth="1"/>
    <col min="3" max="3" width="29.7109375" style="13" customWidth="1"/>
    <col min="4" max="4" width="12.28515625" style="10" customWidth="1"/>
    <col min="5" max="5" width="57.7109375" style="13" customWidth="1"/>
    <col min="6" max="6" width="12.28515625" style="10" customWidth="1"/>
    <col min="7" max="7" width="57.7109375" style="13" customWidth="1"/>
    <col min="8" max="8" width="12.28515625" style="10" customWidth="1"/>
    <col min="9" max="9" width="57.7109375" style="13" customWidth="1"/>
    <col min="10" max="10" width="12.28515625" style="10" customWidth="1"/>
    <col min="11" max="11" width="57.7109375" style="13" customWidth="1"/>
    <col min="12" max="16384" width="9.28515625" style="7"/>
  </cols>
  <sheetData>
    <row r="1" spans="1:11" s="80" customFormat="1" ht="18.75" x14ac:dyDescent="0.25">
      <c r="A1" s="86" t="s">
        <v>33</v>
      </c>
      <c r="B1" s="87" t="s">
        <v>547</v>
      </c>
      <c r="C1" s="88" t="s">
        <v>548</v>
      </c>
      <c r="D1" s="88" t="s">
        <v>547</v>
      </c>
      <c r="E1" s="89" t="s">
        <v>549</v>
      </c>
      <c r="F1" s="87" t="s">
        <v>547</v>
      </c>
      <c r="G1" s="88" t="s">
        <v>550</v>
      </c>
      <c r="H1" s="88" t="s">
        <v>547</v>
      </c>
      <c r="I1" s="89" t="s">
        <v>551</v>
      </c>
      <c r="J1" s="87" t="s">
        <v>547</v>
      </c>
      <c r="K1" s="90" t="s">
        <v>552</v>
      </c>
    </row>
    <row r="2" spans="1:11" ht="29.1" customHeight="1" x14ac:dyDescent="0.25">
      <c r="A2" s="163" t="s">
        <v>553</v>
      </c>
      <c r="B2" s="37" t="s">
        <v>554</v>
      </c>
      <c r="C2" s="85" t="s">
        <v>555</v>
      </c>
      <c r="D2" s="84" t="str">
        <f>Практики!A3</f>
        <v>Gen-1-1</v>
      </c>
      <c r="E2" s="85" t="str">
        <f>Практики!B3</f>
        <v>Создаются резервные копии критичных серверов, процесс резервирования является системным.</v>
      </c>
      <c r="F2" s="84" t="str">
        <f>Практики!A7</f>
        <v>Gen-2-1</v>
      </c>
      <c r="G2" s="85" t="str">
        <f>Практики!B7</f>
        <v>Удаленный доступ подрядчиков регламентирован, права минимально необходимы и контролируется.</v>
      </c>
      <c r="H2" s="84" t="str">
        <f>Практики!A11</f>
        <v>Gen-3-1</v>
      </c>
      <c r="I2" s="85" t="str">
        <f>Практики!B11</f>
        <v>Тестовая среда располагается в отдельном сетевом сегменте. Доступ к среде ограничен</v>
      </c>
      <c r="J2" s="84" t="str">
        <f>Практики!A13</f>
        <v>Gen-4-1</v>
      </c>
      <c r="K2" s="20" t="str">
        <f>Практики!B13</f>
        <v xml:space="preserve"> Обеспечена отказоустойчивость серверной инфраструктуры в рамках нескольких сайтов</v>
      </c>
    </row>
    <row r="3" spans="1:11" ht="43.35" customHeight="1" x14ac:dyDescent="0.25">
      <c r="A3" s="163"/>
      <c r="B3" s="133"/>
      <c r="C3" s="133"/>
      <c r="D3" s="84" t="str">
        <f>Практики!A4</f>
        <v>Gen-1-2</v>
      </c>
      <c r="E3" s="85" t="str">
        <f>Практики!B4</f>
        <v>Должна быть обеспечена отказоустойчивость серверной инфраструктуры в рамках 1 сайта</v>
      </c>
      <c r="F3" s="84" t="str">
        <f>Практики!A8</f>
        <v>Gen-2-2</v>
      </c>
      <c r="G3" s="85" t="str">
        <f>Практики!B8</f>
        <v>Зоны распределения ответственности администраторов разграничены и задокументированы для оркестратора и ОС</v>
      </c>
      <c r="H3" s="84" t="str">
        <f>Практики!A12</f>
        <v>Gen-3-2</v>
      </c>
      <c r="I3" s="85" t="str">
        <f>Практики!B12</f>
        <v>Проводятся учения по отработке плана аварийного восстановления с фактическим прохождением этапов восстановления на условно аварийном сервере</v>
      </c>
      <c r="J3" s="139"/>
      <c r="K3" s="140"/>
    </row>
    <row r="4" spans="1:11" ht="29.1" customHeight="1" x14ac:dyDescent="0.25">
      <c r="A4" s="163"/>
      <c r="B4" s="135"/>
      <c r="C4" s="135"/>
      <c r="D4" s="84" t="str">
        <f>Практики!A5</f>
        <v>Gen-1-3</v>
      </c>
      <c r="E4" s="85" t="str">
        <f>Практики!B5</f>
        <v>Выполняется контроль сетевого трафика на уровне межсетевых экранов (L3/L4) в PROD сегменте (доступ к узлам)</v>
      </c>
      <c r="F4" s="84" t="str">
        <f>Практики!A9</f>
        <v>Gen-2-3</v>
      </c>
      <c r="G4" s="85" t="str">
        <f>Практики!B9</f>
        <v>Процесс резервного копирования регламентирован</v>
      </c>
      <c r="H4" s="139"/>
      <c r="I4" s="133"/>
      <c r="J4" s="141"/>
      <c r="K4" s="142"/>
    </row>
    <row r="5" spans="1:11" ht="29.1" customHeight="1" x14ac:dyDescent="0.25">
      <c r="A5" s="163"/>
      <c r="B5" s="137"/>
      <c r="C5" s="137"/>
      <c r="D5" s="84" t="str">
        <f>Практики!A6</f>
        <v>Gen-1-4</v>
      </c>
      <c r="E5" s="85" t="str">
        <f>Практики!B6</f>
        <v>PROD инфраструктура находится в выделенном сетевом сегменте</v>
      </c>
      <c r="F5" s="84" t="str">
        <f>Практики!A10</f>
        <v>Gen-2-4</v>
      </c>
      <c r="G5" s="85" t="str">
        <f>Практики!B10</f>
        <v>Процесс восстановления доступности регламентирован</v>
      </c>
      <c r="H5" s="143"/>
      <c r="I5" s="137"/>
      <c r="J5" s="143"/>
      <c r="K5" s="144"/>
    </row>
    <row r="6" spans="1:11" ht="43.35" customHeight="1" x14ac:dyDescent="0.25">
      <c r="A6" s="151" t="s">
        <v>556</v>
      </c>
      <c r="B6" s="21" t="s">
        <v>557</v>
      </c>
      <c r="C6" s="17" t="s">
        <v>558</v>
      </c>
      <c r="D6" s="16" t="str">
        <f>Практики!A16</f>
        <v>Nodes-1-1</v>
      </c>
      <c r="E6" s="18" t="str">
        <f>Практики!B16</f>
        <v>УЗ администраторов ОС серверов должны содержать уникальный идентификатор, позволяющий связать администратора с их действиями в ОС</v>
      </c>
      <c r="F6" s="15" t="str">
        <f>Практики!A23</f>
        <v>Nodes-2-1</v>
      </c>
      <c r="G6" s="17" t="str">
        <f>Практики!B23</f>
        <v>Привилегированные права в ОС имеют только УЗ, которым такой доступ необходим, данные УЗ актуальны</v>
      </c>
      <c r="H6" s="15" t="str">
        <f>Практики!A36</f>
        <v>Nodes-3-1</v>
      </c>
      <c r="I6" s="17" t="str">
        <f>Практики!B36</f>
        <v>Процесс установки обновлений безопасности ОС регламентирован</v>
      </c>
      <c r="J6" s="15" t="str">
        <f>Практики!A43</f>
        <v>Nodes-4-1</v>
      </c>
      <c r="K6" s="91" t="str">
        <f>Практики!B43</f>
        <v>Применяется шифрование диска</v>
      </c>
    </row>
    <row r="7" spans="1:11" ht="43.35" customHeight="1" x14ac:dyDescent="0.25">
      <c r="A7" s="152"/>
      <c r="B7" s="176"/>
      <c r="C7" s="171"/>
      <c r="D7" s="16" t="str">
        <f>Практики!A17</f>
        <v>Nodes-1-2</v>
      </c>
      <c r="E7" s="18" t="str">
        <f>Практики!B17</f>
        <v>УЗ root не должна использоваться для администрирования ОС</v>
      </c>
      <c r="F7" s="15" t="str">
        <f>Практики!A24</f>
        <v>Nodes-2-2</v>
      </c>
      <c r="G7" s="17" t="str">
        <f>Практики!B24</f>
        <v>Установлены актуальные обновления безопасности ОС, процесс обновления является системным</v>
      </c>
      <c r="H7" s="15" t="str">
        <f>Практики!A37</f>
        <v>Nodes-3-2</v>
      </c>
      <c r="I7" s="17" t="str">
        <f>Практики!B37</f>
        <v>Проводится сканирование «золотого» образа ОС на уязвимости</v>
      </c>
      <c r="J7" s="15" t="str">
        <f>Практики!A44</f>
        <v>Nodes-4-2</v>
      </c>
      <c r="K7" s="91" t="str">
        <f>Практики!B44</f>
        <v>Должны использоваться специально настроенные АРМ (SAW/PAW – закрытая рабочая станция с высоким уровнем защиты) для администрирования инфраструктуры</v>
      </c>
    </row>
    <row r="8" spans="1:11" ht="43.35" customHeight="1" x14ac:dyDescent="0.25">
      <c r="A8" s="152"/>
      <c r="B8" s="177"/>
      <c r="C8" s="173"/>
      <c r="D8" s="16" t="str">
        <f>Практики!A18</f>
        <v>Nodes-1-3</v>
      </c>
      <c r="E8" s="18" t="str">
        <f>Практики!B18</f>
        <v>Используются версии ОС, поддерживаемые производителем. Для неподдерживаемых версий ОС имеется расширенная поддержка</v>
      </c>
      <c r="F8" s="15" t="str">
        <f>Практики!A25</f>
        <v>Nodes-2-3</v>
      </c>
      <c r="G8" s="17" t="str">
        <f>Практики!B25</f>
        <v>Проводятся периодические сканирования ОС, направленные на выявление уязвимостей</v>
      </c>
      <c r="H8" s="15" t="str">
        <f>Практики!A38</f>
        <v>Nodes-3-3</v>
      </c>
      <c r="I8" s="17" t="str">
        <f>Практики!B38</f>
        <v>Процесс настройки параметров безопасности ОС регламентирован, используются стандарты безопасного конфигурирования c минимальным количеством параметров</v>
      </c>
      <c r="J8" s="15" t="str">
        <f>Практики!A45</f>
        <v>Nodes-4-3</v>
      </c>
      <c r="K8" s="91" t="str">
        <f>Практики!B45</f>
        <v>Используются стандарты безопасности, включающие в себя большую часть настроек на основе CIS Benchmark</v>
      </c>
    </row>
    <row r="9" spans="1:11" ht="30" customHeight="1" x14ac:dyDescent="0.25">
      <c r="A9" s="152"/>
      <c r="B9" s="177"/>
      <c r="C9" s="173"/>
      <c r="D9" s="16" t="str">
        <f>Практики!A19</f>
        <v>Nodes-1-4</v>
      </c>
      <c r="E9" s="18" t="str">
        <f>Практики!B19</f>
        <v>Осуществляется сбор логов о состоянии серверов (мониторинг ИТ) - собираются данные о состоянии сервера.</v>
      </c>
      <c r="F9" s="15" t="str">
        <f>Практики!A26</f>
        <v>Nodes-2-4</v>
      </c>
      <c r="G9" s="17" t="str">
        <f>Практики!B26</f>
        <v>Для установки ОС используется «золотой» образ</v>
      </c>
      <c r="H9" s="15" t="str">
        <f>Практики!A39</f>
        <v>Nodes-3-4</v>
      </c>
      <c r="I9" s="17" t="str">
        <f>Практики!B39</f>
        <v>Включен хостовый МЭ и настроен в соответствии с правилом «запрещено все, что не разрешено»</v>
      </c>
      <c r="J9" s="15" t="str">
        <f>Практики!A46</f>
        <v>Nodes-4-4</v>
      </c>
      <c r="K9" s="91" t="str">
        <f>Практики!B46</f>
        <v>При хранении настроек и развертывании ОС используется подход IaC</v>
      </c>
    </row>
    <row r="10" spans="1:11" ht="43.35" customHeight="1" x14ac:dyDescent="0.25">
      <c r="A10" s="152"/>
      <c r="B10" s="177"/>
      <c r="C10" s="173"/>
      <c r="D10" s="16" t="str">
        <f>Практики!A20</f>
        <v>Nodes-1-5</v>
      </c>
      <c r="E10" s="18" t="str">
        <f>Практики!B20</f>
        <v>Используется антивирусное ПО с постоянно обновляемыми базами.</v>
      </c>
      <c r="F10" s="15" t="str">
        <f>Практики!A27</f>
        <v>Nodes-2-5</v>
      </c>
      <c r="G10" s="17" t="str">
        <f>Практики!B27</f>
        <v>Обновления ОС для серверов, содержащих критичную информацию, устанавливаются только после предварительного успешного тестирования на специально выделенном стенде</v>
      </c>
      <c r="H10" s="15" t="str">
        <f>Практики!A40</f>
        <v>Nodes-3-5</v>
      </c>
      <c r="I10" s="17" t="str">
        <f>Практики!B40</f>
        <v>Определен перечень базовых СЗИ, устанавливаемых на серверы (помимо антивируса)</v>
      </c>
      <c r="J10" s="170"/>
      <c r="K10" s="174"/>
    </row>
    <row r="11" spans="1:11" ht="29.1" customHeight="1" x14ac:dyDescent="0.25">
      <c r="A11" s="152"/>
      <c r="B11" s="177"/>
      <c r="C11" s="173"/>
      <c r="D11" s="16" t="str">
        <f>Практики!A21</f>
        <v>Nodes-1-6</v>
      </c>
      <c r="E11" s="18" t="str">
        <f>Практики!B21</f>
        <v>Реализованы механизмы синхронизации времени в ОС с целью возможности подтверждения времени записи событий</v>
      </c>
      <c r="F11" s="15" t="str">
        <f>Практики!A28</f>
        <v>Nodes-2-6</v>
      </c>
      <c r="G11" s="17" t="str">
        <f>Практики!B28</f>
        <v>Проводятся регулярные сканирования антивирусом</v>
      </c>
      <c r="H11" s="15" t="str">
        <f>Практики!A41</f>
        <v>Nodes-3-6</v>
      </c>
      <c r="I11" s="17" t="str">
        <f>Практики!B41</f>
        <v>Проводятся на регулярной основе внутренние аудиты ИБ конфигурационных настроек ОС</v>
      </c>
      <c r="J11" s="172"/>
      <c r="K11" s="175"/>
    </row>
    <row r="12" spans="1:11" ht="158.65" customHeight="1" x14ac:dyDescent="0.25">
      <c r="A12" s="152"/>
      <c r="B12" s="177"/>
      <c r="C12" s="173"/>
      <c r="D12" s="16" t="str">
        <f>Практики!A22</f>
        <v>Nodes-1-7</v>
      </c>
      <c r="E12" s="18" t="str">
        <f>Практики!B22</f>
        <v>Выполнены настройки сложности пароля:
Возможность использования пустых паролей - нет 
длина пароля: 14;
сложность: да;
срок действия: не более года;
блокирование известных паролей: 20 и более из ТОП, 5 ранее использованных;</v>
      </c>
      <c r="F12" s="15" t="str">
        <f>Практики!A29</f>
        <v>Nodes-2-7</v>
      </c>
      <c r="G12" s="17" t="str">
        <f>Практики!B29</f>
        <v>Используются базовые настройки безопасности для ОС:
- выполнен харденинг SSH:
 LoginGraceTime = 1 m;
 PermitRootLogin = no;
 MaxAuthTries = 6;
 IgnoreRhosts = yes;
 UsePAM = yes;
 TCPKeepAlive = yes;
 X11Forwarding = no;
 ClientAliveInterval = 600;
 ClientAliveCountMax = 3</v>
      </c>
      <c r="H12" s="15" t="str">
        <f>Практики!A42</f>
        <v>Nodes-3-7</v>
      </c>
      <c r="I12" s="17" t="str">
        <f>Практики!B42</f>
        <v>Небезопасные службы ОС (стандартные службы, например, telnet и нестандартные службы - службы стороннего ПО для удаленного доступа и т.д.) отсутствуют или отключены</v>
      </c>
      <c r="J12" s="172"/>
      <c r="K12" s="175"/>
    </row>
    <row r="13" spans="1:11" ht="14.65" customHeight="1" x14ac:dyDescent="0.25">
      <c r="A13" s="152"/>
      <c r="B13" s="177"/>
      <c r="C13" s="173"/>
      <c r="D13" s="164"/>
      <c r="E13" s="165"/>
      <c r="F13" s="15" t="str">
        <f>Практики!A30</f>
        <v>Nodes-2-8</v>
      </c>
      <c r="G13" s="17" t="str">
        <f>Практики!B30</f>
        <v xml:space="preserve"> Логин на сервер только через SSH ключ</v>
      </c>
      <c r="H13" s="170"/>
      <c r="I13" s="171"/>
      <c r="J13" s="172"/>
      <c r="K13" s="175"/>
    </row>
    <row r="14" spans="1:11" ht="43.35" customHeight="1" x14ac:dyDescent="0.25">
      <c r="A14" s="152"/>
      <c r="B14" s="177"/>
      <c r="C14" s="173"/>
      <c r="D14" s="166"/>
      <c r="E14" s="167"/>
      <c r="F14" s="15" t="str">
        <f>Практики!A31</f>
        <v>Nodes-2-9</v>
      </c>
      <c r="G14" s="17" t="str">
        <f>Практики!B31</f>
        <v>Определены и настроены критичные события, которые должны собираться с *nix-серверов (перечень параметров). События передаются и анализируются в SIEM</v>
      </c>
      <c r="H14" s="172"/>
      <c r="I14" s="173"/>
      <c r="J14" s="172"/>
      <c r="K14" s="175"/>
    </row>
    <row r="15" spans="1:11" ht="14.65" customHeight="1" x14ac:dyDescent="0.25">
      <c r="A15" s="152"/>
      <c r="B15" s="177"/>
      <c r="C15" s="173"/>
      <c r="D15" s="166"/>
      <c r="E15" s="167"/>
      <c r="F15" s="15" t="str">
        <f>Практики!A32</f>
        <v>Nodes-2-10</v>
      </c>
      <c r="G15" s="17" t="str">
        <f>Практики!B32</f>
        <v>Определен список возможных инцидентов ИБ в части ОС</v>
      </c>
      <c r="H15" s="172"/>
      <c r="I15" s="173"/>
      <c r="J15" s="172"/>
      <c r="K15" s="175"/>
    </row>
    <row r="16" spans="1:11" ht="29.1" customHeight="1" x14ac:dyDescent="0.25">
      <c r="A16" s="152"/>
      <c r="B16" s="177"/>
      <c r="C16" s="173"/>
      <c r="D16" s="166"/>
      <c r="E16" s="167"/>
      <c r="F16" s="15" t="str">
        <f>Практики!A33</f>
        <v>Nodes-2-11</v>
      </c>
      <c r="G16" s="17" t="str">
        <f>Практики!B33</f>
        <v>Выполняется ревизия УЗ администраторов ОС. В случае необходимости, УЗ деактивируется или отключается</v>
      </c>
      <c r="H16" s="172"/>
      <c r="I16" s="173"/>
      <c r="J16" s="172"/>
      <c r="K16" s="175"/>
    </row>
    <row r="17" spans="1:11" ht="29.1" customHeight="1" x14ac:dyDescent="0.25">
      <c r="A17" s="152"/>
      <c r="B17" s="177"/>
      <c r="C17" s="173"/>
      <c r="D17" s="166"/>
      <c r="E17" s="167"/>
      <c r="F17" s="15" t="str">
        <f>Практики!A34</f>
        <v>Nodes-2-12</v>
      </c>
      <c r="G17" s="17" t="str">
        <f>Практики!B34</f>
        <v>Неразрешенное ПО или не требуемое для администрирования на ОС хост-серверов не установлено</v>
      </c>
      <c r="H17" s="172"/>
      <c r="I17" s="173"/>
      <c r="J17" s="172"/>
      <c r="K17" s="175"/>
    </row>
    <row r="18" spans="1:11" ht="29.1" customHeight="1" x14ac:dyDescent="0.25">
      <c r="A18" s="153"/>
      <c r="B18" s="178"/>
      <c r="C18" s="179"/>
      <c r="D18" s="168"/>
      <c r="E18" s="169"/>
      <c r="F18" s="15" t="str">
        <f>Практики!A35</f>
        <v>Nodes-2-13</v>
      </c>
      <c r="G18" s="17" t="str">
        <f>Практики!B35</f>
        <v>Для размещения контейнеров на дисковой подсистеме используется отдельная партиция</v>
      </c>
      <c r="H18" s="180"/>
      <c r="I18" s="179"/>
      <c r="J18" s="180"/>
      <c r="K18" s="181"/>
    </row>
    <row r="19" spans="1:11" ht="29.1" customHeight="1" x14ac:dyDescent="0.25">
      <c r="A19" s="182" t="s">
        <v>559</v>
      </c>
      <c r="B19" s="37" t="s">
        <v>560</v>
      </c>
      <c r="C19" s="85" t="s">
        <v>561</v>
      </c>
      <c r="D19" s="84" t="str">
        <f>Практики!A49</f>
        <v>Orch-1-1</v>
      </c>
      <c r="E19" s="85" t="str">
        <f>Практики!B49</f>
        <v>Для доступа к kube-apiserver используется аутентификация и авторизация</v>
      </c>
      <c r="F19" s="84" t="str">
        <f>Практики!A60</f>
        <v>Orch-2-1</v>
      </c>
      <c r="G19" s="85" t="str">
        <f>Практики!B60</f>
        <v>УЗ администраторов оркестратора подвергаются ревизии. В случае необходимости, УЗ деактивируются или отключаются</v>
      </c>
      <c r="H19" s="84" t="str">
        <f>Практики!A73</f>
        <v>Orch-3-1</v>
      </c>
      <c r="I19" s="85" t="str">
        <f>Практики!B73</f>
        <v>Admission controller NamespaceLifecycle активирован и используется</v>
      </c>
      <c r="J19" s="84" t="str">
        <f>Практики!A80</f>
        <v>Orch-4-1</v>
      </c>
      <c r="K19" s="20" t="str">
        <f>Практики!B80</f>
        <v>Используются стандарты безопасности на основе CIS Benchmark</v>
      </c>
    </row>
    <row r="20" spans="1:11" ht="43.35" customHeight="1" x14ac:dyDescent="0.25">
      <c r="A20" s="183"/>
      <c r="B20" s="185"/>
      <c r="C20" s="186"/>
      <c r="D20" s="84" t="str">
        <f>Практики!A50</f>
        <v>Orch-1-2</v>
      </c>
      <c r="E20" s="85" t="str">
        <f>Практики!B50</f>
        <v>Для доступа к kube-apiserver не используется базовая аутентификация</v>
      </c>
      <c r="F20" s="84" t="str">
        <f>Практики!A61</f>
        <v>Orch-2-2</v>
      </c>
      <c r="G20" s="85" t="str">
        <f>Практики!B61</f>
        <v>Установлены актуальные обновления безопасности оркестратора, процесс обновления является системным</v>
      </c>
      <c r="H20" s="84" t="str">
        <f>Практики!A74</f>
        <v>Orch-3-2</v>
      </c>
      <c r="I20" s="85" t="str">
        <f>Практики!B74</f>
        <v>Процесс настройки параметров безопасности среды контейнерной оркестрации регламентирован, используются стандарты безопасного конфигурирования</v>
      </c>
      <c r="J20" s="84" t="str">
        <f>Практики!A81</f>
        <v>Orch-4-2</v>
      </c>
      <c r="K20" s="20" t="str">
        <f>Практики!B81</f>
        <v>При хранении настроек и развертывании оркестратора используется подход IaC</v>
      </c>
    </row>
    <row r="21" spans="1:11" ht="60" x14ac:dyDescent="0.25">
      <c r="A21" s="183"/>
      <c r="B21" s="187"/>
      <c r="C21" s="188"/>
      <c r="D21" s="84" t="str">
        <f>Практики!A51</f>
        <v>Orch-1-3</v>
      </c>
      <c r="E21" s="85" t="str">
        <f>Практики!B51</f>
        <v>УЗ администраторов Kubernetes должны содержать уникальный идентификатор, позволяющий связать администратора с их действиями в среде контейнерной оркестрации</v>
      </c>
      <c r="F21" s="84" t="str">
        <f>Практики!A62</f>
        <v>Orch-2-3</v>
      </c>
      <c r="G21" s="85" t="str">
        <f>Практики!B62</f>
        <v>УЗ cluster-admin не используется для администрирования кластеров Kubernetes</v>
      </c>
      <c r="H21" s="84" t="str">
        <f>Практики!A75</f>
        <v>Orch-3-3</v>
      </c>
      <c r="I21" s="85" t="str">
        <f>Практики!B75</f>
        <v>Используется ротация сертификатов kubelet</v>
      </c>
      <c r="J21" s="84" t="str">
        <f>Практики!A82</f>
        <v>Orch-4-3</v>
      </c>
      <c r="K21" s="20" t="str">
        <f>Практики!B82</f>
        <v xml:space="preserve">Для размещения etcd используются выделенные серверы с отдельной БД. Обеспечивается отказоустойчивость </v>
      </c>
    </row>
    <row r="22" spans="1:11" ht="30" x14ac:dyDescent="0.25">
      <c r="A22" s="183"/>
      <c r="B22" s="187"/>
      <c r="C22" s="188"/>
      <c r="D22" s="84" t="str">
        <f>Практики!A52</f>
        <v>Orch-1-4</v>
      </c>
      <c r="E22" s="85" t="str">
        <f>Практики!B52</f>
        <v>Для доступа к kube-apiserver используется только защищенное TLS соединение</v>
      </c>
      <c r="F22" s="84" t="str">
        <f>Практики!A63</f>
        <v>Orch-2-4</v>
      </c>
      <c r="G22" s="85" t="str">
        <f>Практики!B63</f>
        <v>Admission controller AlwaysPullImages активирован и используется</v>
      </c>
      <c r="H22" s="84" t="str">
        <f>Практики!A76</f>
        <v>Orch-3-4</v>
      </c>
      <c r="I22" s="85" t="str">
        <f>Практики!B76</f>
        <v>База данных etcd шифруется</v>
      </c>
      <c r="J22" s="191"/>
      <c r="K22" s="199"/>
    </row>
    <row r="23" spans="1:11" ht="45" x14ac:dyDescent="0.25">
      <c r="A23" s="183"/>
      <c r="B23" s="187"/>
      <c r="C23" s="188"/>
      <c r="D23" s="84" t="str">
        <f>Практики!A53</f>
        <v>Orch-1-5</v>
      </c>
      <c r="E23" s="85" t="str">
        <f>Практики!B53</f>
        <v>Для коммуникации между узлами кластера (master, worker, infrastructure) используются только шифрованные соединения TLS</v>
      </c>
      <c r="F23" s="84" t="str">
        <f>Практики!A64</f>
        <v>Orch-2-5</v>
      </c>
      <c r="G23" s="85" t="str">
        <f>Практики!B64</f>
        <v>Разрешения на конфигурационные файлы, хранящиеся на узлах master соответствуют лучшим практикам CIS</v>
      </c>
      <c r="H23" s="84" t="str">
        <f>Практики!A77</f>
        <v>Orch-3-5</v>
      </c>
      <c r="I23" s="85" t="str">
        <f>Практики!B77</f>
        <v>Используется мониторинг ИТ состояние сред контейнеризации</v>
      </c>
      <c r="J23" s="200"/>
      <c r="K23" s="201"/>
    </row>
    <row r="24" spans="1:11" ht="30" x14ac:dyDescent="0.25">
      <c r="A24" s="183"/>
      <c r="B24" s="187"/>
      <c r="C24" s="188"/>
      <c r="D24" s="84" t="str">
        <f>Практики!A54</f>
        <v>Orch-1-6</v>
      </c>
      <c r="E24" s="85" t="str">
        <f>Практики!B54</f>
        <v>Admission controller AlwaysAdmit не используется</v>
      </c>
      <c r="F24" s="84" t="str">
        <f>Практики!A65</f>
        <v>Orch-2-6</v>
      </c>
      <c r="G24" s="85" t="str">
        <f>Практики!B65</f>
        <v>Разрешения на конфигурационные файлы, хранящиеся на узлах worker соответствуют лучшим практикам CIS</v>
      </c>
      <c r="H24" s="84" t="str">
        <f>Практики!A78</f>
        <v>Orch-3-6</v>
      </c>
      <c r="I24" s="85" t="str">
        <f>Практики!B78</f>
        <v>Используются отдельные решения по хранению секретов</v>
      </c>
      <c r="J24" s="200"/>
      <c r="K24" s="201"/>
    </row>
    <row r="25" spans="1:11" ht="43.35" customHeight="1" x14ac:dyDescent="0.25">
      <c r="A25" s="183"/>
      <c r="B25" s="187"/>
      <c r="C25" s="188"/>
      <c r="D25" s="84" t="str">
        <f>Практики!A55</f>
        <v>Orch-1-7</v>
      </c>
      <c r="E25" s="85" t="str">
        <f>Практики!B55</f>
        <v>Для доступа kube-apiserver к etcd используется аутентификация через сертификаты</v>
      </c>
      <c r="F25" s="84" t="str">
        <f>Практики!A66</f>
        <v>Orch-2-7</v>
      </c>
      <c r="G25" s="85" t="str">
        <f>Практики!B66</f>
        <v>Используются версии оркестратора, поддерживаемые производителем. Для неподдерживаемых версий ОС имеется расширенная поддержка</v>
      </c>
      <c r="H25" s="84" t="str">
        <f>Практики!A79</f>
        <v>Orch-3-7</v>
      </c>
      <c r="I25" s="85" t="str">
        <f>Практики!B79</f>
        <v>Все соединения между сервисами шифруются при помощи mTLS</v>
      </c>
      <c r="J25" s="200"/>
      <c r="K25" s="201"/>
    </row>
    <row r="26" spans="1:11" ht="29.1" customHeight="1" x14ac:dyDescent="0.25">
      <c r="A26" s="183"/>
      <c r="B26" s="187"/>
      <c r="C26" s="188"/>
      <c r="D26" s="84" t="str">
        <f>Практики!A56</f>
        <v>Orch-1-8</v>
      </c>
      <c r="E26" s="85" t="str">
        <f>Практики!B56</f>
        <v>Анонимная аутентификация kubelet отключена</v>
      </c>
      <c r="F26" s="84" t="str">
        <f>Практики!A67</f>
        <v>Orch-2-8</v>
      </c>
      <c r="G26" s="85" t="str">
        <f>Практики!B67</f>
        <v>Настроены параметры аудита сред оркестрации (k8s audit policy), логи передаются и анализируются в SIEM</v>
      </c>
      <c r="H26" s="193"/>
      <c r="I26" s="194"/>
      <c r="J26" s="200"/>
      <c r="K26" s="201"/>
    </row>
    <row r="27" spans="1:11" ht="45" customHeight="1" x14ac:dyDescent="0.25">
      <c r="A27" s="183"/>
      <c r="B27" s="187"/>
      <c r="C27" s="188"/>
      <c r="D27" s="84" t="str">
        <f>Практики!A57</f>
        <v>Orch-1-9</v>
      </c>
      <c r="E27" s="85" t="str">
        <f>Практики!B57</f>
        <v>Read-only доступ к kubelet не используется</v>
      </c>
      <c r="F27" s="84" t="str">
        <f>Практики!A68</f>
        <v>Orch-2-9</v>
      </c>
      <c r="G27" s="85" t="str">
        <f>Практики!B68</f>
        <v>Определен список возможных инцидентов ИБ в части оркестратора</v>
      </c>
      <c r="H27" s="195"/>
      <c r="I27" s="196"/>
      <c r="J27" s="200"/>
      <c r="K27" s="201"/>
    </row>
    <row r="28" spans="1:11" ht="43.35" customHeight="1" x14ac:dyDescent="0.25">
      <c r="A28" s="183"/>
      <c r="B28" s="187"/>
      <c r="C28" s="188"/>
      <c r="D28" s="84" t="str">
        <f>Практики!A58</f>
        <v>Orch-1-10</v>
      </c>
      <c r="E28" s="85" t="str">
        <f>Практики!B58</f>
        <v>Для доступа к kubelet используется только шифрованный трафик TLS</v>
      </c>
      <c r="F28" s="84" t="str">
        <f>Практики!A69</f>
        <v>Orch-2-10</v>
      </c>
      <c r="G28" s="85" t="str">
        <f>Практики!B69</f>
        <v>При администрировании оркестратора используется ролевая модель, при назначении прав используется принцип минимальных привилегий</v>
      </c>
      <c r="H28" s="195"/>
      <c r="I28" s="196"/>
      <c r="J28" s="200"/>
      <c r="K28" s="201"/>
    </row>
    <row r="29" spans="1:11" ht="29.1" customHeight="1" x14ac:dyDescent="0.25">
      <c r="A29" s="183"/>
      <c r="B29" s="187"/>
      <c r="C29" s="188"/>
      <c r="D29" s="84" t="str">
        <f>Практики!A59</f>
        <v>Orch-1-11</v>
      </c>
      <c r="E29" s="85" t="str">
        <f>Практики!B59</f>
        <v>Используется webhook авторизация kubelet с использованием сертификата kube-apiserver</v>
      </c>
      <c r="F29" s="84" t="str">
        <f>Практики!A70</f>
        <v>Orch-2-11</v>
      </c>
      <c r="G29" s="85" t="str">
        <f>Практики!B70</f>
        <v>Для аутентификации в оркестраторе используется внешний сервис, например Active Directory</v>
      </c>
      <c r="H29" s="195"/>
      <c r="I29" s="196"/>
      <c r="J29" s="200"/>
      <c r="K29" s="201"/>
    </row>
    <row r="30" spans="1:11" ht="45" customHeight="1" x14ac:dyDescent="0.25">
      <c r="A30" s="183"/>
      <c r="B30" s="187"/>
      <c r="C30" s="188"/>
      <c r="D30" s="191"/>
      <c r="E30" s="186"/>
      <c r="F30" s="84" t="str">
        <f>Практики!A71</f>
        <v>Orch-2-12</v>
      </c>
      <c r="G30" s="85" t="str">
        <f>Практики!B71</f>
        <v>Процесс установки обновлений безопасности оркестратора регламентирован</v>
      </c>
      <c r="H30" s="195"/>
      <c r="I30" s="196"/>
      <c r="J30" s="200"/>
      <c r="K30" s="201"/>
    </row>
    <row r="31" spans="1:11" ht="45" x14ac:dyDescent="0.25">
      <c r="A31" s="184"/>
      <c r="B31" s="189"/>
      <c r="C31" s="190"/>
      <c r="D31" s="192"/>
      <c r="E31" s="190"/>
      <c r="F31" s="84" t="str">
        <f>Практики!A72</f>
        <v>Orch-2-13</v>
      </c>
      <c r="G31" s="85" t="str">
        <f>Практики!B72</f>
        <v>Используются Policy engine или Admission controller, позволяющие контролировать конфигурацию запускаемых микросервисов</v>
      </c>
      <c r="H31" s="197"/>
      <c r="I31" s="198"/>
      <c r="J31" s="192"/>
      <c r="K31" s="202"/>
    </row>
    <row r="32" spans="1:11" ht="43.35" customHeight="1" x14ac:dyDescent="0.25">
      <c r="A32" s="151" t="s">
        <v>562</v>
      </c>
      <c r="B32" s="15" t="s">
        <v>563</v>
      </c>
      <c r="C32" s="17" t="s">
        <v>564</v>
      </c>
      <c r="D32" s="15" t="str">
        <f>Практики!A85</f>
        <v>Dock-1-1</v>
      </c>
      <c r="E32" s="17" t="str">
        <f>Практики!B85</f>
        <v>Установлен уровень логирования docker демона - info</v>
      </c>
      <c r="F32" s="15" t="str">
        <f>Практики!A92</f>
        <v>Dock-2-1</v>
      </c>
      <c r="G32" s="17" t="str">
        <f>Практики!B92</f>
        <v>Для сред контейнеризации на базе Docker используются средства мониторинг событий ИБ (локальный сервис)</v>
      </c>
      <c r="H32" s="15" t="str">
        <f>Практики!A106</f>
        <v>Dock-3-1</v>
      </c>
      <c r="I32" s="17" t="str">
        <f>Практики!B106</f>
        <v>Настроены параметры аудита сред оркестрации, логи передаются и анализируются в SIEM</v>
      </c>
      <c r="J32" s="15" t="str">
        <f>Практики!A115</f>
        <v>Dock-4-1</v>
      </c>
      <c r="K32" s="91" t="str">
        <f>Практики!B115</f>
        <v>Используются стандарты безопасности на основе CIS Benchmark (более 70% параметров) для оркестратора Docker</v>
      </c>
    </row>
    <row r="33" spans="1:11" ht="30" x14ac:dyDescent="0.25">
      <c r="A33" s="152"/>
      <c r="B33" s="176"/>
      <c r="C33" s="171"/>
      <c r="D33" s="15" t="str">
        <f>Практики!A86</f>
        <v>Dock-1-2</v>
      </c>
      <c r="E33" s="17" t="str">
        <f>Практики!B86</f>
        <v>Демон Docker имеет необходимые права для внесения изменений в iptables</v>
      </c>
      <c r="F33" s="15" t="str">
        <f>Практики!A93</f>
        <v>Dock-2-2</v>
      </c>
      <c r="G33" s="17" t="str">
        <f>Практики!B93</f>
        <v>Настроен аудит для ключевых файлов, относящихся к демону Docker</v>
      </c>
      <c r="H33" s="15" t="str">
        <f>Практики!A107</f>
        <v>Dock-3-2</v>
      </c>
      <c r="I33" s="17" t="str">
        <f>Практики!B107</f>
        <v>Доступ к демону Docker имеет ограниченное число пользователей ОС</v>
      </c>
      <c r="J33" s="15" t="str">
        <f>Практики!A116</f>
        <v>Dock-4-2</v>
      </c>
      <c r="K33" s="91" t="str">
        <f>Практики!B116</f>
        <v>При хранении настроек и развертывании оркестратора используется подход IaC</v>
      </c>
    </row>
    <row r="34" spans="1:11" ht="30" x14ac:dyDescent="0.25">
      <c r="A34" s="152"/>
      <c r="B34" s="177"/>
      <c r="C34" s="173"/>
      <c r="D34" s="15" t="str">
        <f>Практики!A87</f>
        <v>Dock-1-3</v>
      </c>
      <c r="E34" s="17" t="str">
        <f>Практики!B87</f>
        <v>В продуктивной среде не используются функции Docker, помеченные как экспериментальные</v>
      </c>
      <c r="F34" s="15" t="str">
        <f>Практики!A94</f>
        <v>Dock-2-3</v>
      </c>
      <c r="G34" s="17" t="str">
        <f>Практики!B94</f>
        <v xml:space="preserve">hairpin NAT mode используется для публикации сервисов вместо userland proxy service </v>
      </c>
      <c r="H34" s="15" t="str">
        <f>Практики!A108</f>
        <v>Dock-3-3</v>
      </c>
      <c r="I34" s="17" t="str">
        <f>Практики!B108</f>
        <v>Контролируется целостность исполняемых файлов Docker, а также его конфигураций</v>
      </c>
      <c r="J34" s="15" t="str">
        <f>Практики!A117</f>
        <v>Dock-4-3</v>
      </c>
      <c r="K34" s="91" t="str">
        <f>Практики!B117</f>
        <v>Используются самописные плагины для авторизации команд, поступающих к Docker демону</v>
      </c>
    </row>
    <row r="35" spans="1:11" ht="45" x14ac:dyDescent="0.25">
      <c r="A35" s="152"/>
      <c r="B35" s="177"/>
      <c r="C35" s="173"/>
      <c r="D35" s="15" t="str">
        <f>Практики!A88</f>
        <v>Dock-1-4</v>
      </c>
      <c r="E35" s="17" t="str">
        <f>Практики!B88</f>
        <v>Устаревший драйвер для хранилищ данных aufs не используется в Docker</v>
      </c>
      <c r="F35" s="15" t="str">
        <f>Практики!A95</f>
        <v>Dock-2-4</v>
      </c>
      <c r="G35" s="17" t="str">
        <f>Практики!B95</f>
        <v>Разрешения на конфигурационные файлы, хранящиеся на узлах worker соответствуют лучшим практикам CIS</v>
      </c>
      <c r="H35" s="15" t="str">
        <f>Практики!A109</f>
        <v>Dock-3-4</v>
      </c>
      <c r="I35" s="17" t="str">
        <f>Практики!B109</f>
        <v>Используется мониторинг ИТ состояния сред контейнеризации (не только ОС, но и сама среда контейнеризации)</v>
      </c>
      <c r="J35" s="15" t="str">
        <f>Практики!A118</f>
        <v>Dock-4-4</v>
      </c>
      <c r="K35" s="91" t="str">
        <f>Практики!B118</f>
        <v>Трафик между контейнерами разделен (для разграничения доступа между контейнеров используется несколько сетевых мостов - Network Bridge)</v>
      </c>
    </row>
    <row r="36" spans="1:11" ht="43.35" customHeight="1" x14ac:dyDescent="0.25">
      <c r="A36" s="152"/>
      <c r="B36" s="177"/>
      <c r="C36" s="173"/>
      <c r="D36" s="15" t="str">
        <f>Практики!A89</f>
        <v>Dock-1-5</v>
      </c>
      <c r="E36" s="17" t="str">
        <f>Практики!B89</f>
        <v>Определена единая cgroup (control group) по умолчанию для всех контейнеров</v>
      </c>
      <c r="F36" s="15" t="str">
        <f>Практики!A96</f>
        <v>Dock-2-5</v>
      </c>
      <c r="G36" s="17" t="str">
        <f>Практики!B96</f>
        <v>Используются версии оркестратора, поддерживаемые производителем. Для неподдерживаемых версий ОС имеется расширенная поддержка</v>
      </c>
      <c r="H36" s="15" t="str">
        <f>Практики!A110</f>
        <v>Dock-3-5</v>
      </c>
      <c r="I36" s="17" t="str">
        <f>Практики!B110</f>
        <v>Для сетевого доступа к Docker Daemon используется TLS-аутентификация по сертификату</v>
      </c>
      <c r="J36" s="15" t="str">
        <f>Практики!A119</f>
        <v>Dock-4-5</v>
      </c>
      <c r="K36" s="91" t="str">
        <f>Практики!B119</f>
        <v>Определены отдельные cgroup (control group) для групп контейнеров</v>
      </c>
    </row>
    <row r="37" spans="1:11" ht="45" x14ac:dyDescent="0.25">
      <c r="A37" s="152"/>
      <c r="B37" s="177"/>
      <c r="C37" s="173"/>
      <c r="D37" s="15" t="str">
        <f>Практики!A90</f>
        <v>Dock-1-6</v>
      </c>
      <c r="E37" s="17" t="str">
        <f>Практики!B90</f>
        <v>Установлена опция --live-restore для демона Docker</v>
      </c>
      <c r="F37" s="15" t="str">
        <f>Практики!A97</f>
        <v>Dock-2-6</v>
      </c>
      <c r="G37" s="17" t="str">
        <f>Практики!B97</f>
        <v>Определен список возможных инцидентов ИБ в части оркестратора</v>
      </c>
      <c r="H37" s="15" t="str">
        <f>Практики!A111</f>
        <v>Dock-3-6</v>
      </c>
      <c r="I37" s="17" t="str">
        <f>Практики!B111</f>
        <v>Для доступа к Docker Daemon используется только защищенное TLS соединение</v>
      </c>
      <c r="J37" s="15" t="str">
        <f>Практики!A120</f>
        <v>Dock-4-6</v>
      </c>
      <c r="K37" s="91" t="str">
        <f>Практики!B120</f>
        <v>В кластере SWARM используется режим auto-lock. Для запуска узлов необходимо ввести ключ разблокировки доступа к ключам шифрования</v>
      </c>
    </row>
    <row r="38" spans="1:11" ht="30" x14ac:dyDescent="0.25">
      <c r="A38" s="152"/>
      <c r="B38" s="177"/>
      <c r="C38" s="173"/>
      <c r="D38" s="15" t="str">
        <f>Практики!A91</f>
        <v>Dock-1-7</v>
      </c>
      <c r="E38" s="17" t="str">
        <f>Практики!B91</f>
        <v>Настроены лимиты (ulimits) для контейнеров по умолчанию</v>
      </c>
      <c r="F38" s="15" t="str">
        <f>Практики!A98</f>
        <v>Dock-2-7</v>
      </c>
      <c r="G38" s="17" t="str">
        <f>Практики!B98</f>
        <v>Производится регулярная очистка неиспользуемых образов на хостах</v>
      </c>
      <c r="H38" s="15" t="str">
        <f>Практики!A112</f>
        <v>Dock-3-7</v>
      </c>
      <c r="I38" s="17" t="str">
        <f>Практики!B112</f>
        <v>Демон Docker запущен в rootless-режиме</v>
      </c>
      <c r="J38" s="15" t="str">
        <f>Практики!A121</f>
        <v>Dock-4-7</v>
      </c>
      <c r="K38" s="91" t="str">
        <f>Практики!B121</f>
        <v>Для ключей разблокировки режима auto-lock используется ротация</v>
      </c>
    </row>
    <row r="39" spans="1:11" ht="30" x14ac:dyDescent="0.25">
      <c r="A39" s="152"/>
      <c r="B39" s="177"/>
      <c r="C39" s="173"/>
      <c r="D39" s="170"/>
      <c r="E39" s="171"/>
      <c r="F39" s="15" t="str">
        <f>Практики!A99</f>
        <v>Dock-2-8</v>
      </c>
      <c r="G39" s="17" t="str">
        <f>Практики!B99</f>
        <v>Процесс установки обновлений безопасности Docker регламентирован</v>
      </c>
      <c r="H39" s="170"/>
      <c r="I39" s="171"/>
      <c r="J39" s="170"/>
      <c r="K39" s="174"/>
    </row>
    <row r="40" spans="1:11" ht="30" x14ac:dyDescent="0.25">
      <c r="A40" s="152"/>
      <c r="B40" s="177"/>
      <c r="C40" s="173"/>
      <c r="D40" s="172"/>
      <c r="E40" s="173"/>
      <c r="F40" s="15" t="str">
        <f>Практики!A100</f>
        <v>Dock-2-9</v>
      </c>
      <c r="G40" s="17" t="str">
        <f>Практики!B100</f>
        <v xml:space="preserve">Используется средство контроля параметров запускаемых контейнеров </v>
      </c>
      <c r="H40" s="172"/>
      <c r="I40" s="173"/>
      <c r="J40" s="172"/>
      <c r="K40" s="175"/>
    </row>
    <row r="41" spans="1:11" ht="43.35" customHeight="1" x14ac:dyDescent="0.25">
      <c r="A41" s="152"/>
      <c r="B41" s="177"/>
      <c r="C41" s="173"/>
      <c r="D41" s="172"/>
      <c r="E41" s="173"/>
      <c r="F41" s="15" t="str">
        <f>Практики!A101</f>
        <v>Dock-2-10</v>
      </c>
      <c r="G41" s="17" t="str">
        <f>Практики!B101</f>
        <v>Процесс настройки параметров безопасности среды контейнерной оркестрации регламентирован, используются стандарты конфигурирования с базовыми стандартами</v>
      </c>
      <c r="H41" s="172"/>
      <c r="I41" s="173"/>
      <c r="J41" s="172"/>
      <c r="K41" s="175"/>
    </row>
    <row r="42" spans="1:11" ht="30" customHeight="1" x14ac:dyDescent="0.25">
      <c r="A42" s="152"/>
      <c r="B42" s="177"/>
      <c r="C42" s="173"/>
      <c r="D42" s="172"/>
      <c r="E42" s="173"/>
      <c r="F42" s="15" t="str">
        <f>Практики!A102</f>
        <v>Dock-2-11</v>
      </c>
      <c r="G42" s="17" t="str">
        <f>Практики!B102</f>
        <v>Сервис Docker Swarm доступен только на тех сетевых интерфейсах, на которых это необходимо.</v>
      </c>
      <c r="H42" s="172"/>
      <c r="I42" s="173"/>
      <c r="J42" s="172"/>
      <c r="K42" s="175"/>
    </row>
    <row r="43" spans="1:11" ht="30" x14ac:dyDescent="0.25">
      <c r="A43" s="152"/>
      <c r="B43" s="177"/>
      <c r="C43" s="173"/>
      <c r="D43" s="172"/>
      <c r="E43" s="173"/>
      <c r="F43" s="15" t="str">
        <f>Практики!A103</f>
        <v>Dock-2-12</v>
      </c>
      <c r="G43" s="17" t="str">
        <f>Практики!B103</f>
        <v>Настроено шифрование для overlay сетей, используемых для связи между хост-серверами в кластере Docker SWARM</v>
      </c>
      <c r="H43" s="172"/>
      <c r="I43" s="173"/>
      <c r="J43" s="172"/>
      <c r="K43" s="175"/>
    </row>
    <row r="44" spans="1:11" ht="30" customHeight="1" x14ac:dyDescent="0.25">
      <c r="A44" s="152"/>
      <c r="B44" s="177"/>
      <c r="C44" s="173"/>
      <c r="D44" s="172"/>
      <c r="E44" s="173"/>
      <c r="F44" s="15" t="str">
        <f>Практики!A104</f>
        <v>Dock-2-13</v>
      </c>
      <c r="G44" s="17" t="str">
        <f>Практики!B104</f>
        <v>Сертификат, используемый для коммуникации между узлами SWARM роитруется не реже 90 дней (значение по умолчанию)</v>
      </c>
      <c r="H44" s="172"/>
      <c r="I44" s="173"/>
      <c r="J44" s="172"/>
      <c r="K44" s="175"/>
    </row>
    <row r="45" spans="1:11" ht="30" customHeight="1" x14ac:dyDescent="0.25">
      <c r="A45" s="152"/>
      <c r="B45" s="177"/>
      <c r="C45" s="173"/>
      <c r="D45" s="172"/>
      <c r="E45" s="173"/>
      <c r="F45" s="15" t="str">
        <f>Практики!A105</f>
        <v>Dock-2-14</v>
      </c>
      <c r="G45" s="17" t="str">
        <f>Практики!B105</f>
        <v xml:space="preserve">Минимальное необходимое количество узлов обладают ролью Manager. В общем случае - не более 3 (нечетное количество).  </v>
      </c>
      <c r="H45" s="172"/>
      <c r="I45" s="173"/>
      <c r="J45" s="172"/>
      <c r="K45" s="175"/>
    </row>
    <row r="46" spans="1:11" ht="45" x14ac:dyDescent="0.25">
      <c r="A46" s="163" t="s">
        <v>565</v>
      </c>
      <c r="B46" s="37" t="s">
        <v>566</v>
      </c>
      <c r="C46" s="85" t="s">
        <v>567</v>
      </c>
      <c r="D46" s="84" t="str">
        <f>Практики!A124</f>
        <v>IMG-1-1</v>
      </c>
      <c r="E46" s="85" t="str">
        <f>Практики!B124</f>
        <v>В собранных образах не должны храниться секреты</v>
      </c>
      <c r="F46" s="84" t="str">
        <f>Практики!A129</f>
        <v>IMG-2-1</v>
      </c>
      <c r="G46" s="85" t="str">
        <f>Практики!B129</f>
        <v>Образы контейнеров не должны содержать уязвимостей, которые возможно проэксплуатировать</v>
      </c>
      <c r="H46" s="84" t="str">
        <f>Практики!A132</f>
        <v>IMG-3-1</v>
      </c>
      <c r="I46" s="85" t="str">
        <f>Практики!B132</f>
        <v>Для собираемых образов генерируется SBOM</v>
      </c>
      <c r="J46" s="84" t="str">
        <f>Практики!A136</f>
        <v>IMG-4-1</v>
      </c>
      <c r="K46" s="20" t="str">
        <f>Практики!B136</f>
        <v>Должны использоваться образы, содержащие минимальный функционал (distroless)</v>
      </c>
    </row>
    <row r="47" spans="1:11" ht="45" x14ac:dyDescent="0.25">
      <c r="A47" s="163"/>
      <c r="B47" s="133"/>
      <c r="C47" s="134"/>
      <c r="D47" s="84" t="str">
        <f>Практики!A125</f>
        <v>IMG-1-2</v>
      </c>
      <c r="E47" s="85" t="str">
        <f>Практики!B125</f>
        <v>Контейнеры запускаются из образов, хранящихся в локальных репозиториях</v>
      </c>
      <c r="F47" s="84" t="str">
        <f>Практики!A130</f>
        <v>IMG-2-2</v>
      </c>
      <c r="G47" s="85" t="str">
        <f>Практики!B130</f>
        <v>Выполняется сканирование образов контейнеров в CI/CD на наличие уязвимостей</v>
      </c>
      <c r="H47" s="84" t="str">
        <f>Практики!A133</f>
        <v>IMG-3-2</v>
      </c>
      <c r="I47" s="85" t="str">
        <f>Практики!B133</f>
        <v>На образы регулярно устанавливаются обновления (обновляются базовые образы)</v>
      </c>
      <c r="J47" s="84" t="str">
        <f>Практики!A137</f>
        <v>IMG-4-2</v>
      </c>
      <c r="K47" s="20" t="str">
        <f>Практики!B137</f>
        <v>Сборки в CI/CD блокируются при найденных уязвимостях в образах контейнеров по договоренности между ИБ и разработчиками</v>
      </c>
    </row>
    <row r="48" spans="1:11" ht="45" x14ac:dyDescent="0.25">
      <c r="A48" s="163"/>
      <c r="B48" s="135"/>
      <c r="C48" s="136"/>
      <c r="D48" s="84" t="str">
        <f>Практики!A126</f>
        <v>IMG-1-3</v>
      </c>
      <c r="E48" s="85" t="str">
        <f>Практики!B126</f>
        <v>Выполняется сканирование образов контейнеров. Запуск сканирования происходит в ручном режиме.</v>
      </c>
      <c r="F48" s="84" t="str">
        <f>Практики!A131</f>
        <v>IMG-2-3</v>
      </c>
      <c r="G48" s="85" t="str">
        <f>Практики!B131</f>
        <v>При обнаружении дефектов ИБ в образах контейнеров автоматизированно создаются задачи на их устранение в тикет-системе</v>
      </c>
      <c r="H48" s="84" t="str">
        <f>Практики!A134</f>
        <v>IMG-3-3</v>
      </c>
      <c r="I48" s="85" t="str">
        <f>Практики!B134</f>
        <v>Собираемые образы подписываются электронной подписью при сборке, а также осуществляется их проверка</v>
      </c>
      <c r="J48" s="139"/>
      <c r="K48" s="140"/>
    </row>
    <row r="49" spans="1:11" ht="45" x14ac:dyDescent="0.25">
      <c r="A49" s="163"/>
      <c r="B49" s="135"/>
      <c r="C49" s="136"/>
      <c r="D49" s="84" t="str">
        <f>Практики!A127</f>
        <v>IMG-1-4</v>
      </c>
      <c r="E49" s="85" t="str">
        <f>Практики!B127</f>
        <v>Осуществляется мультиуровневая сборка для минимизации размера образа и его функционала</v>
      </c>
      <c r="F49" s="145"/>
      <c r="G49" s="146"/>
      <c r="H49" s="84" t="str">
        <f>Практики!A135</f>
        <v>IMG-3-4</v>
      </c>
      <c r="I49" s="85" t="str">
        <f>Практики!B135</f>
        <v>Выполняется периодическое сканирование образов контейнеров, размещенных во внутренних репозиториях, на наличие уязвимостей</v>
      </c>
      <c r="J49" s="141"/>
      <c r="K49" s="142"/>
    </row>
    <row r="50" spans="1:11" ht="30" x14ac:dyDescent="0.25">
      <c r="A50" s="163"/>
      <c r="B50" s="137"/>
      <c r="C50" s="138"/>
      <c r="D50" s="84" t="str">
        <f>Практики!A128</f>
        <v>IMG-1-5</v>
      </c>
      <c r="E50" s="85" t="str">
        <f>Практики!B128</f>
        <v>Осуществляется сканирование Docker файлов на недостатки конфигурации ИБ</v>
      </c>
      <c r="F50" s="147"/>
      <c r="G50" s="148"/>
      <c r="H50" s="149"/>
      <c r="I50" s="150"/>
      <c r="J50" s="143"/>
      <c r="K50" s="144"/>
    </row>
    <row r="51" spans="1:11" ht="45" x14ac:dyDescent="0.25">
      <c r="A51" s="151" t="s">
        <v>568</v>
      </c>
      <c r="B51" s="15" t="s">
        <v>569</v>
      </c>
      <c r="C51" s="17" t="s">
        <v>567</v>
      </c>
      <c r="D51" s="15" t="str">
        <f>Практики!A140</f>
        <v>MAN-1-1</v>
      </c>
      <c r="E51" s="17" t="str">
        <f>Практики!B140</f>
        <v>В манифестах не используются секреты в открытом виде</v>
      </c>
      <c r="F51" s="15" t="str">
        <f>Практики!A144</f>
        <v>MAN-2-1</v>
      </c>
      <c r="G51" s="17" t="str">
        <f>Практики!B144</f>
        <v>В манифестах используются скрипты проверки доступности приложений</v>
      </c>
      <c r="H51" s="15" t="str">
        <f>Практики!A152</f>
        <v>MAN-3-1</v>
      </c>
      <c r="I51" s="17" t="str">
        <f>Практики!B152</f>
        <v>Процесс настройки параметров безопасности манифестов регламентирован, используются базовые стандарты безопасного конфигурирования манифестов.</v>
      </c>
      <c r="J51" s="15" t="str">
        <f>Практики!A156</f>
        <v>MAN-4-1</v>
      </c>
      <c r="K51" s="91" t="str">
        <f>Практики!B156</f>
        <v>Для групп контейнеров используются отдельные apparmor-профайлы</v>
      </c>
    </row>
    <row r="52" spans="1:11" ht="75" x14ac:dyDescent="0.25">
      <c r="A52" s="152"/>
      <c r="B52" s="154"/>
      <c r="C52" s="155"/>
      <c r="D52" s="15" t="str">
        <f>Практики!A141</f>
        <v>MAN-1-2</v>
      </c>
      <c r="E52" s="17" t="str">
        <f>Практики!B141</f>
        <v>В манифестах не используется флаг privileged для контейнеров</v>
      </c>
      <c r="F52" s="15" t="str">
        <f>Практики!A145</f>
        <v>MAN-2-2</v>
      </c>
      <c r="G52" s="17" t="str">
        <f>Практики!B145</f>
        <v>В манифестах  не используются тома (volume) типа host path</v>
      </c>
      <c r="H52" s="15" t="str">
        <f>Практики!A153</f>
        <v>MAN-3-2</v>
      </c>
      <c r="I52" s="17" t="str">
        <f>Практики!B153</f>
        <v>Осуществляется контроль за выполнением команд внутри контейнера от пользователя root
Настроены политики средства контроля запускаемых сущностей, ограничивающие запуск контейнеров с пользователем root</v>
      </c>
      <c r="J52" s="15" t="str">
        <f>Практики!A157</f>
        <v>MAN-4-2</v>
      </c>
      <c r="K52" s="91" t="str">
        <f>Практики!B157</f>
        <v>Для групп контейнеров используются отдельные seccomp-профайлы</v>
      </c>
    </row>
    <row r="53" spans="1:11" ht="60" x14ac:dyDescent="0.25">
      <c r="A53" s="152"/>
      <c r="B53" s="156"/>
      <c r="C53" s="157"/>
      <c r="D53" s="15" t="str">
        <f>Практики!A142</f>
        <v>MAN-1-3</v>
      </c>
      <c r="E53" s="17" t="str">
        <f>Практики!B142</f>
        <v>В конфигурациях для контейнеров не используется host network (сеть хоста)</v>
      </c>
      <c r="F53" s="15" t="str">
        <f>Практики!A146</f>
        <v>MAN-2-3</v>
      </c>
      <c r="G53" s="17" t="str">
        <f>Практики!B146</f>
        <v>В манифестах не используются образы контейнеров с тегом latest</v>
      </c>
      <c r="H53" s="15" t="str">
        <f>Практики!A154</f>
        <v>MAN-3-3</v>
      </c>
      <c r="I53" s="17" t="str">
        <f>Практики!B154</f>
        <v>В конфигурациях deployments/replicasets/pods/daemonsets/statefulsets для контейнеров, используется read only корневая системы (readOnlyRootFilesystem)</v>
      </c>
      <c r="J53" s="154"/>
      <c r="K53" s="160"/>
    </row>
    <row r="54" spans="1:11" ht="45" x14ac:dyDescent="0.25">
      <c r="A54" s="152"/>
      <c r="B54" s="156"/>
      <c r="C54" s="157"/>
      <c r="D54" s="15" t="str">
        <f>Практики!A143</f>
        <v>MAN-1-4</v>
      </c>
      <c r="E54" s="17" t="str">
        <f>Практики!B143</f>
        <v>В манифестах не используются флаги allowPrivilegeEscalation или capabilities CAP_SYS_ADMIN</v>
      </c>
      <c r="F54" s="15" t="str">
        <f>Практики!A147</f>
        <v>MAN-2-4</v>
      </c>
      <c r="G54" s="17" t="str">
        <f>Практики!B147</f>
        <v>В манифестах не монтируются чувствительные каталоги и файлы хостовой ОС</v>
      </c>
      <c r="H54" s="15" t="str">
        <f>Практики!A155</f>
        <v>MAN-3-4</v>
      </c>
      <c r="I54" s="17" t="str">
        <f>Практики!B155</f>
        <v>Настроены политики средства контроля запускаемых сущностей, требующих в конфигурации указывать необходимые capabilities</v>
      </c>
      <c r="J54" s="156"/>
      <c r="K54" s="161"/>
    </row>
    <row r="55" spans="1:11" ht="30" x14ac:dyDescent="0.25">
      <c r="A55" s="152"/>
      <c r="B55" s="156"/>
      <c r="C55" s="157"/>
      <c r="D55" s="156"/>
      <c r="E55" s="157"/>
      <c r="F55" s="15" t="str">
        <f>Практики!A148</f>
        <v>MAN-2-5</v>
      </c>
      <c r="G55" s="17" t="str">
        <f>Практики!B148</f>
        <v>В манифестах  не используются пространтсва имен PID, разделенные между хост-сервером и контейнером</v>
      </c>
      <c r="H55" s="156"/>
      <c r="I55" s="157"/>
      <c r="J55" s="156"/>
      <c r="K55" s="161"/>
    </row>
    <row r="56" spans="1:11" ht="30" x14ac:dyDescent="0.25">
      <c r="A56" s="152"/>
      <c r="B56" s="156"/>
      <c r="C56" s="157"/>
      <c r="D56" s="156"/>
      <c r="E56" s="157"/>
      <c r="F56" s="15" t="str">
        <f>Практики!A149</f>
        <v>MAN-2-6</v>
      </c>
      <c r="G56" s="17" t="str">
        <f>Практики!B149</f>
        <v>В манифестах  не используются пространтсва имен IPC разделенные между хост-сервером и контейнером</v>
      </c>
      <c r="H56" s="156"/>
      <c r="I56" s="157"/>
      <c r="J56" s="156"/>
      <c r="K56" s="161"/>
    </row>
    <row r="57" spans="1:11" ht="30" x14ac:dyDescent="0.25">
      <c r="A57" s="152"/>
      <c r="B57" s="156"/>
      <c r="C57" s="157"/>
      <c r="D57" s="156"/>
      <c r="E57" s="157"/>
      <c r="F57" s="15" t="str">
        <f>Практики!A150</f>
        <v>MAN-2-7</v>
      </c>
      <c r="G57" s="17" t="str">
        <f>Практики!B150</f>
        <v>В манифестах  не используются пространтсва имен разделенные UTS между хост-сервером и контейнером</v>
      </c>
      <c r="H57" s="156"/>
      <c r="I57" s="157"/>
      <c r="J57" s="156"/>
      <c r="K57" s="161"/>
    </row>
    <row r="58" spans="1:11" ht="30" x14ac:dyDescent="0.25">
      <c r="A58" s="153"/>
      <c r="B58" s="158"/>
      <c r="C58" s="159"/>
      <c r="D58" s="158"/>
      <c r="E58" s="159"/>
      <c r="F58" s="15" t="str">
        <f>Практики!A151</f>
        <v>MAN-2-8</v>
      </c>
      <c r="G58" s="17" t="str">
        <f>Практики!B151</f>
        <v>В манифестах  настроены ограничения для контейнеров (limits и requests, ulimits или другая опция)</v>
      </c>
      <c r="H58" s="158"/>
      <c r="I58" s="159"/>
      <c r="J58" s="158"/>
      <c r="K58" s="162"/>
    </row>
    <row r="59" spans="1:11" ht="45" x14ac:dyDescent="0.25">
      <c r="A59" s="113" t="s">
        <v>570</v>
      </c>
      <c r="B59" s="51" t="s">
        <v>571</v>
      </c>
      <c r="C59" s="43" t="s">
        <v>567</v>
      </c>
      <c r="D59" s="52" t="str">
        <f>Практики!A160</f>
        <v>CONT-1-1</v>
      </c>
      <c r="E59" s="43" t="str">
        <f>Практики!B160</f>
        <v>Используются профили по умолчанию Secomp</v>
      </c>
      <c r="F59" s="52" t="str">
        <f>Практики!A162</f>
        <v>CONT-2-1</v>
      </c>
      <c r="G59" s="43" t="str">
        <f>Практики!B162</f>
        <v>Используются сетевые политики для разграничения доступа между неймспейсами</v>
      </c>
      <c r="H59" s="52" t="str">
        <f>Практики!A165</f>
        <v>CONT-3-1</v>
      </c>
      <c r="I59" s="43" t="str">
        <f>Практики!B165</f>
        <v>Используются сетевые политики для разграничения доступа между микросервисами</v>
      </c>
      <c r="J59" s="52" t="str">
        <f>Практики!A171</f>
        <v>CONT-4-1</v>
      </c>
      <c r="K59" s="53" t="str">
        <f>Практики!B171</f>
        <v>Настроены и используются кастомизированные Runtime политики для отдельных контейнерных приложений в режиме block</v>
      </c>
    </row>
    <row r="60" spans="1:11" ht="30" x14ac:dyDescent="0.25">
      <c r="A60" s="113"/>
      <c r="B60" s="115"/>
      <c r="C60" s="116"/>
      <c r="D60" s="52" t="str">
        <f>Практики!A161</f>
        <v>CONT-1-2</v>
      </c>
      <c r="E60" s="43" t="str">
        <f>Практики!B161</f>
        <v>В контейнерах не запущен демон sshd</v>
      </c>
      <c r="F60" s="52" t="str">
        <f>Практики!A163</f>
        <v>CONT-2-2</v>
      </c>
      <c r="G60" s="43" t="str">
        <f>Практики!B163</f>
        <v>Настроены и используются L7 сетевые политики контроля трафика  в режиме мониторинга</v>
      </c>
      <c r="H60" s="52" t="str">
        <f>Практики!A166</f>
        <v>CONT-3-2</v>
      </c>
      <c r="I60" s="43" t="str">
        <f>Практики!B166</f>
        <v>Настроены и используются L7 сетевые политики контроля трафика  в режиме Block</v>
      </c>
      <c r="J60" s="121"/>
      <c r="K60" s="122"/>
    </row>
    <row r="61" spans="1:11" ht="60" x14ac:dyDescent="0.25">
      <c r="A61" s="113"/>
      <c r="B61" s="117"/>
      <c r="C61" s="118"/>
      <c r="D61" s="127"/>
      <c r="E61" s="128"/>
      <c r="F61" s="52" t="str">
        <f>Практики!A164</f>
        <v>CONT-2-3</v>
      </c>
      <c r="G61" s="43" t="str">
        <f>Практики!B164</f>
        <v>Осуществляется мониторинг запускаемых процессов, сетевых соединений и использования файлов в контейнерах. Используются правила по умолчанию</v>
      </c>
      <c r="H61" s="52" t="str">
        <f>Практики!A167</f>
        <v>CONT-3-3</v>
      </c>
      <c r="I61" s="43" t="str">
        <f>Практики!B167</f>
        <v>Осуществляется мониторинг  запускаемых процессов, сетевых соединений и использования файлов в контейнерах. Правила регулярно обновляются и учитывают актуальные угрозы</v>
      </c>
      <c r="J61" s="123"/>
      <c r="K61" s="124"/>
    </row>
    <row r="62" spans="1:11" ht="30" x14ac:dyDescent="0.25">
      <c r="A62" s="113"/>
      <c r="B62" s="117"/>
      <c r="C62" s="118"/>
      <c r="D62" s="129"/>
      <c r="E62" s="130"/>
      <c r="F62" s="127"/>
      <c r="G62" s="128"/>
      <c r="H62" s="52" t="str">
        <f>Практики!A168</f>
        <v>CONT-3-4</v>
      </c>
      <c r="I62" s="43" t="str">
        <f>Практики!B168</f>
        <v>Используются кастомизированные политики Runtime для сред контейнеризации, как минимум уровня всего кластера</v>
      </c>
      <c r="J62" s="123"/>
      <c r="K62" s="124"/>
    </row>
    <row r="63" spans="1:11" ht="30" x14ac:dyDescent="0.25">
      <c r="A63" s="113"/>
      <c r="B63" s="117"/>
      <c r="C63" s="118"/>
      <c r="D63" s="129"/>
      <c r="E63" s="130"/>
      <c r="F63" s="129"/>
      <c r="G63" s="130"/>
      <c r="H63" s="52" t="str">
        <f>Практики!A169</f>
        <v>CONT-3-5</v>
      </c>
      <c r="I63" s="43" t="str">
        <f>Практики!B169</f>
        <v>Используются профили seccomp, кастомизированные под микросервисы</v>
      </c>
      <c r="J63" s="123"/>
      <c r="K63" s="124"/>
    </row>
    <row r="64" spans="1:11" ht="30.75" thickBot="1" x14ac:dyDescent="0.3">
      <c r="A64" s="114"/>
      <c r="B64" s="119"/>
      <c r="C64" s="120"/>
      <c r="D64" s="131"/>
      <c r="E64" s="132"/>
      <c r="F64" s="131"/>
      <c r="G64" s="132"/>
      <c r="H64" s="54" t="str">
        <f>Практики!A170</f>
        <v>CONT-3-6</v>
      </c>
      <c r="I64" s="55" t="str">
        <f>Практики!B170</f>
        <v>Используется мониторинг аномалий для запущенных контейнеров</v>
      </c>
      <c r="J64" s="125"/>
      <c r="K64" s="126"/>
    </row>
  </sheetData>
  <mergeCells count="34">
    <mergeCell ref="H39:I45"/>
    <mergeCell ref="J39:K45"/>
    <mergeCell ref="A6:A18"/>
    <mergeCell ref="B7:C18"/>
    <mergeCell ref="H13:I18"/>
    <mergeCell ref="J10:K18"/>
    <mergeCell ref="B33:C45"/>
    <mergeCell ref="D39:E45"/>
    <mergeCell ref="A19:A31"/>
    <mergeCell ref="B20:C31"/>
    <mergeCell ref="D30:E31"/>
    <mergeCell ref="H26:I31"/>
    <mergeCell ref="J22:K31"/>
    <mergeCell ref="A32:A45"/>
    <mergeCell ref="B3:C5"/>
    <mergeCell ref="A2:A5"/>
    <mergeCell ref="H4:I5"/>
    <mergeCell ref="J3:K5"/>
    <mergeCell ref="D13:E18"/>
    <mergeCell ref="B47:C50"/>
    <mergeCell ref="J48:K50"/>
    <mergeCell ref="F49:G50"/>
    <mergeCell ref="H50:I50"/>
    <mergeCell ref="A51:A58"/>
    <mergeCell ref="B52:C58"/>
    <mergeCell ref="J53:K58"/>
    <mergeCell ref="D55:E58"/>
    <mergeCell ref="H55:I58"/>
    <mergeCell ref="A46:A50"/>
    <mergeCell ref="A59:A64"/>
    <mergeCell ref="B60:C64"/>
    <mergeCell ref="J60:K64"/>
    <mergeCell ref="D61:E64"/>
    <mergeCell ref="F62:G64"/>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D128"/>
  <sheetViews>
    <sheetView zoomScale="85" zoomScaleNormal="85" workbookViewId="0">
      <pane xSplit="1" ySplit="1" topLeftCell="B2" activePane="bottomRight" state="frozen"/>
      <selection pane="topRight" activeCell="B1" sqref="B1"/>
      <selection pane="bottomLeft" activeCell="A2" sqref="A2"/>
      <selection pane="bottomRight" activeCell="D1" sqref="C1:D1"/>
    </sheetView>
  </sheetViews>
  <sheetFormatPr defaultColWidth="8.7109375" defaultRowHeight="15" outlineLevelRow="1" x14ac:dyDescent="0.25"/>
  <cols>
    <col min="1" max="1" width="17.28515625" style="12" customWidth="1"/>
    <col min="2" max="2" width="87.5703125" style="72" customWidth="1"/>
    <col min="3" max="3" width="116.28515625" style="72" customWidth="1"/>
    <col min="4" max="4" width="32.5703125" style="12" customWidth="1"/>
    <col min="5" max="16384" width="8.7109375" style="36"/>
  </cols>
  <sheetData>
    <row r="1" spans="1:4" ht="16.5" x14ac:dyDescent="0.25">
      <c r="A1" s="83" t="s">
        <v>988</v>
      </c>
      <c r="B1" s="83" t="s">
        <v>36</v>
      </c>
      <c r="C1" s="82" t="s">
        <v>48</v>
      </c>
      <c r="D1" s="83" t="s">
        <v>573</v>
      </c>
    </row>
    <row r="2" spans="1:4" x14ac:dyDescent="0.25">
      <c r="A2" s="204" t="s">
        <v>989</v>
      </c>
      <c r="B2" s="205"/>
      <c r="C2" s="205"/>
      <c r="D2" s="206"/>
    </row>
    <row r="3" spans="1:4" x14ac:dyDescent="0.25">
      <c r="A3" s="207" t="s">
        <v>990</v>
      </c>
      <c r="B3" s="207"/>
      <c r="C3" s="207"/>
      <c r="D3" s="207"/>
    </row>
    <row r="4" spans="1:4" ht="30" hidden="1" outlineLevel="1" x14ac:dyDescent="0.25">
      <c r="A4" s="73" t="s">
        <v>267</v>
      </c>
      <c r="B4" s="74" t="s">
        <v>991</v>
      </c>
      <c r="C4" s="74" t="s">
        <v>992</v>
      </c>
      <c r="D4" s="73" t="s">
        <v>993</v>
      </c>
    </row>
    <row r="5" spans="1:4" ht="30" hidden="1" outlineLevel="1" x14ac:dyDescent="0.25">
      <c r="A5" s="73" t="s">
        <v>326</v>
      </c>
      <c r="B5" s="74" t="s">
        <v>994</v>
      </c>
      <c r="C5" s="74" t="s">
        <v>995</v>
      </c>
      <c r="D5" s="73" t="s">
        <v>996</v>
      </c>
    </row>
    <row r="6" spans="1:4" hidden="1" outlineLevel="1" x14ac:dyDescent="0.25">
      <c r="A6" s="73" t="s">
        <v>286</v>
      </c>
      <c r="B6" s="74" t="s">
        <v>997</v>
      </c>
      <c r="C6" s="74" t="s">
        <v>998</v>
      </c>
      <c r="D6" s="73" t="s">
        <v>999</v>
      </c>
    </row>
    <row r="7" spans="1:4" hidden="1" outlineLevel="1" x14ac:dyDescent="0.25">
      <c r="A7" s="73" t="s">
        <v>583</v>
      </c>
      <c r="B7" s="74" t="s">
        <v>1000</v>
      </c>
      <c r="C7" s="74" t="s">
        <v>1001</v>
      </c>
      <c r="D7" s="73" t="s">
        <v>1002</v>
      </c>
    </row>
    <row r="8" spans="1:4" hidden="1" outlineLevel="1" x14ac:dyDescent="0.25">
      <c r="A8" s="73" t="s">
        <v>586</v>
      </c>
      <c r="B8" s="74" t="s">
        <v>1003</v>
      </c>
      <c r="C8" s="74" t="s">
        <v>1004</v>
      </c>
      <c r="D8" s="73" t="s">
        <v>1002</v>
      </c>
    </row>
    <row r="9" spans="1:4" hidden="1" outlineLevel="1" x14ac:dyDescent="0.25">
      <c r="A9" s="73" t="s">
        <v>589</v>
      </c>
      <c r="B9" s="74" t="s">
        <v>1005</v>
      </c>
      <c r="C9" s="74" t="s">
        <v>1006</v>
      </c>
      <c r="D9" s="73" t="s">
        <v>1002</v>
      </c>
    </row>
    <row r="10" spans="1:4" hidden="1" outlineLevel="1" x14ac:dyDescent="0.25">
      <c r="A10" s="73" t="s">
        <v>592</v>
      </c>
      <c r="B10" s="74" t="s">
        <v>1007</v>
      </c>
      <c r="C10" s="74" t="s">
        <v>1008</v>
      </c>
      <c r="D10" s="73" t="s">
        <v>1002</v>
      </c>
    </row>
    <row r="11" spans="1:4" hidden="1" outlineLevel="1" x14ac:dyDescent="0.25">
      <c r="A11" s="73" t="s">
        <v>595</v>
      </c>
      <c r="B11" s="74" t="s">
        <v>1009</v>
      </c>
      <c r="C11" s="74" t="s">
        <v>1010</v>
      </c>
      <c r="D11" s="73" t="s">
        <v>1002</v>
      </c>
    </row>
    <row r="12" spans="1:4" hidden="1" outlineLevel="1" x14ac:dyDescent="0.25">
      <c r="A12" s="73" t="s">
        <v>598</v>
      </c>
      <c r="B12" s="74" t="s">
        <v>1011</v>
      </c>
      <c r="C12" s="74" t="s">
        <v>1012</v>
      </c>
      <c r="D12" s="73" t="s">
        <v>1002</v>
      </c>
    </row>
    <row r="13" spans="1:4" hidden="1" outlineLevel="1" x14ac:dyDescent="0.25">
      <c r="A13" s="73" t="s">
        <v>601</v>
      </c>
      <c r="B13" s="74" t="s">
        <v>1013</v>
      </c>
      <c r="C13" s="74" t="s">
        <v>1014</v>
      </c>
      <c r="D13" s="73" t="s">
        <v>1002</v>
      </c>
    </row>
    <row r="14" spans="1:4" hidden="1" outlineLevel="1" x14ac:dyDescent="0.25">
      <c r="A14" s="73" t="s">
        <v>604</v>
      </c>
      <c r="B14" s="74" t="s">
        <v>1015</v>
      </c>
      <c r="C14" s="74" t="s">
        <v>1016</v>
      </c>
      <c r="D14" s="73" t="s">
        <v>1002</v>
      </c>
    </row>
    <row r="15" spans="1:4" hidden="1" outlineLevel="1" x14ac:dyDescent="0.25">
      <c r="A15" s="73" t="s">
        <v>607</v>
      </c>
      <c r="B15" s="74" t="s">
        <v>1017</v>
      </c>
      <c r="C15" s="74" t="s">
        <v>1018</v>
      </c>
      <c r="D15" s="73" t="s">
        <v>1002</v>
      </c>
    </row>
    <row r="16" spans="1:4" hidden="1" outlineLevel="1" x14ac:dyDescent="0.25">
      <c r="A16" s="73" t="s">
        <v>610</v>
      </c>
      <c r="B16" s="74" t="s">
        <v>1019</v>
      </c>
      <c r="C16" s="74" t="s">
        <v>1020</v>
      </c>
      <c r="D16" s="73" t="s">
        <v>1002</v>
      </c>
    </row>
    <row r="17" spans="1:4" hidden="1" outlineLevel="1" x14ac:dyDescent="0.25">
      <c r="A17" s="73" t="s">
        <v>613</v>
      </c>
      <c r="B17" s="74" t="s">
        <v>1021</v>
      </c>
      <c r="C17" s="74" t="s">
        <v>1022</v>
      </c>
      <c r="D17" s="73" t="s">
        <v>1002</v>
      </c>
    </row>
    <row r="18" spans="1:4" hidden="1" outlineLevel="1" x14ac:dyDescent="0.25">
      <c r="A18" s="73" t="s">
        <v>616</v>
      </c>
      <c r="B18" s="74" t="s">
        <v>1023</v>
      </c>
      <c r="C18" s="74" t="s">
        <v>1024</v>
      </c>
      <c r="D18" s="73" t="s">
        <v>1002</v>
      </c>
    </row>
    <row r="19" spans="1:4" ht="30" hidden="1" outlineLevel="1" x14ac:dyDescent="0.25">
      <c r="A19" s="73" t="s">
        <v>619</v>
      </c>
      <c r="B19" s="74" t="s">
        <v>1025</v>
      </c>
      <c r="C19" s="74" t="s">
        <v>1026</v>
      </c>
      <c r="D19" s="73" t="s">
        <v>1002</v>
      </c>
    </row>
    <row r="20" spans="1:4" ht="30" hidden="1" outlineLevel="1" x14ac:dyDescent="0.25">
      <c r="A20" s="73" t="s">
        <v>622</v>
      </c>
      <c r="B20" s="74" t="s">
        <v>1027</v>
      </c>
      <c r="C20" s="74" t="s">
        <v>1028</v>
      </c>
      <c r="D20" s="73" t="s">
        <v>1002</v>
      </c>
    </row>
    <row r="21" spans="1:4" hidden="1" outlineLevel="1" x14ac:dyDescent="0.25">
      <c r="A21" s="73" t="s">
        <v>625</v>
      </c>
      <c r="B21" s="74" t="s">
        <v>1029</v>
      </c>
      <c r="C21" s="74" t="s">
        <v>1030</v>
      </c>
      <c r="D21" s="73" t="s">
        <v>1002</v>
      </c>
    </row>
    <row r="22" spans="1:4" collapsed="1" x14ac:dyDescent="0.25">
      <c r="A22" s="207" t="s">
        <v>1031</v>
      </c>
      <c r="B22" s="207"/>
      <c r="C22" s="207"/>
      <c r="D22" s="207"/>
    </row>
    <row r="23" spans="1:4" ht="135" hidden="1" outlineLevel="1" x14ac:dyDescent="0.25">
      <c r="A23" s="73" t="s">
        <v>85</v>
      </c>
      <c r="B23" s="74" t="s">
        <v>1032</v>
      </c>
      <c r="C23" s="74" t="s">
        <v>1033</v>
      </c>
      <c r="D23" s="73" t="s">
        <v>1034</v>
      </c>
    </row>
    <row r="24" spans="1:4" ht="45" hidden="1" outlineLevel="1" x14ac:dyDescent="0.25">
      <c r="A24" s="73" t="s">
        <v>162</v>
      </c>
      <c r="B24" s="74" t="s">
        <v>1035</v>
      </c>
      <c r="C24" s="74" t="s">
        <v>1036</v>
      </c>
      <c r="D24" s="73" t="s">
        <v>1037</v>
      </c>
    </row>
    <row r="25" spans="1:4" collapsed="1" x14ac:dyDescent="0.25">
      <c r="A25" s="203" t="s">
        <v>1038</v>
      </c>
      <c r="B25" s="203"/>
      <c r="C25" s="203"/>
      <c r="D25" s="203"/>
    </row>
    <row r="26" spans="1:4" ht="30" hidden="1" outlineLevel="1" x14ac:dyDescent="0.25">
      <c r="A26" s="73" t="s">
        <v>4</v>
      </c>
      <c r="B26" s="74" t="s">
        <v>1039</v>
      </c>
      <c r="C26" s="74" t="s">
        <v>1040</v>
      </c>
      <c r="D26" s="73" t="s">
        <v>1041</v>
      </c>
    </row>
    <row r="27" spans="1:4" ht="45" hidden="1" outlineLevel="1" x14ac:dyDescent="0.25">
      <c r="A27" s="73" t="s">
        <v>5</v>
      </c>
      <c r="B27" s="74" t="s">
        <v>1042</v>
      </c>
      <c r="C27" s="74" t="s">
        <v>1043</v>
      </c>
      <c r="D27" s="73" t="s">
        <v>1044</v>
      </c>
    </row>
    <row r="28" spans="1:4" hidden="1" outlineLevel="1" x14ac:dyDescent="0.25">
      <c r="A28" s="73" t="s">
        <v>6</v>
      </c>
      <c r="B28" s="74" t="s">
        <v>1045</v>
      </c>
      <c r="C28" s="74" t="s">
        <v>1046</v>
      </c>
      <c r="D28" s="73" t="s">
        <v>1047</v>
      </c>
    </row>
    <row r="29" spans="1:4" ht="30" hidden="1" outlineLevel="1" x14ac:dyDescent="0.25">
      <c r="A29" s="73" t="s">
        <v>7</v>
      </c>
      <c r="B29" s="74" t="s">
        <v>1048</v>
      </c>
      <c r="C29" s="74" t="s">
        <v>1049</v>
      </c>
      <c r="D29" s="73" t="s">
        <v>1050</v>
      </c>
    </row>
    <row r="30" spans="1:4" hidden="1" outlineLevel="1" x14ac:dyDescent="0.25">
      <c r="A30" s="73" t="s">
        <v>8</v>
      </c>
      <c r="B30" s="74" t="s">
        <v>1051</v>
      </c>
      <c r="C30" s="74" t="s">
        <v>1052</v>
      </c>
      <c r="D30" s="73" t="s">
        <v>55</v>
      </c>
    </row>
    <row r="31" spans="1:4" hidden="1" outlineLevel="1" x14ac:dyDescent="0.25">
      <c r="A31" s="73" t="s">
        <v>9</v>
      </c>
      <c r="B31" s="74" t="s">
        <v>1053</v>
      </c>
      <c r="C31" s="74" t="s">
        <v>1054</v>
      </c>
      <c r="D31" s="73" t="s">
        <v>1055</v>
      </c>
    </row>
    <row r="32" spans="1:4" ht="30" hidden="1" outlineLevel="1" x14ac:dyDescent="0.25">
      <c r="A32" s="73" t="s">
        <v>10</v>
      </c>
      <c r="B32" s="74" t="s">
        <v>1056</v>
      </c>
      <c r="C32" s="74" t="s">
        <v>1057</v>
      </c>
      <c r="D32" s="73" t="s">
        <v>1058</v>
      </c>
    </row>
    <row r="33" spans="1:4" hidden="1" outlineLevel="1" x14ac:dyDescent="0.25">
      <c r="A33" s="73" t="s">
        <v>11</v>
      </c>
      <c r="B33" s="74" t="s">
        <v>1059</v>
      </c>
      <c r="C33" s="74" t="s">
        <v>1060</v>
      </c>
      <c r="D33" s="73" t="s">
        <v>1061</v>
      </c>
    </row>
    <row r="34" spans="1:4" ht="60" hidden="1" outlineLevel="1" x14ac:dyDescent="0.25">
      <c r="A34" s="73" t="s">
        <v>12</v>
      </c>
      <c r="B34" s="74" t="s">
        <v>1062</v>
      </c>
      <c r="C34" s="74" t="s">
        <v>1063</v>
      </c>
      <c r="D34" s="73" t="s">
        <v>55</v>
      </c>
    </row>
    <row r="35" spans="1:4" ht="30" hidden="1" outlineLevel="1" x14ac:dyDescent="0.25">
      <c r="A35" s="73" t="s">
        <v>13</v>
      </c>
      <c r="B35" s="74" t="s">
        <v>1064</v>
      </c>
      <c r="C35" s="74" t="s">
        <v>1065</v>
      </c>
      <c r="D35" s="73" t="s">
        <v>1066</v>
      </c>
    </row>
    <row r="36" spans="1:4" ht="30" hidden="1" outlineLevel="1" x14ac:dyDescent="0.25">
      <c r="A36" s="73" t="s">
        <v>14</v>
      </c>
      <c r="B36" s="74" t="s">
        <v>1067</v>
      </c>
      <c r="C36" s="74" t="s">
        <v>1068</v>
      </c>
      <c r="D36" s="73" t="s">
        <v>55</v>
      </c>
    </row>
    <row r="37" spans="1:4" ht="30" hidden="1" outlineLevel="1" x14ac:dyDescent="0.25">
      <c r="A37" s="73" t="s">
        <v>15</v>
      </c>
      <c r="B37" s="74" t="s">
        <v>1069</v>
      </c>
      <c r="C37" s="74" t="s">
        <v>1070</v>
      </c>
      <c r="D37" s="73" t="s">
        <v>1071</v>
      </c>
    </row>
    <row r="38" spans="1:4" ht="30" hidden="1" outlineLevel="1" x14ac:dyDescent="0.25">
      <c r="A38" s="73" t="s">
        <v>16</v>
      </c>
      <c r="B38" s="74" t="s">
        <v>1072</v>
      </c>
      <c r="C38" s="74" t="s">
        <v>1073</v>
      </c>
      <c r="D38" s="73" t="s">
        <v>1074</v>
      </c>
    </row>
    <row r="39" spans="1:4" hidden="1" outlineLevel="1" x14ac:dyDescent="0.25">
      <c r="A39" s="73" t="s">
        <v>17</v>
      </c>
      <c r="B39" s="74" t="s">
        <v>1075</v>
      </c>
      <c r="C39" s="74" t="s">
        <v>1076</v>
      </c>
      <c r="D39" s="73" t="s">
        <v>55</v>
      </c>
    </row>
    <row r="40" spans="1:4" ht="30" hidden="1" outlineLevel="1" x14ac:dyDescent="0.25">
      <c r="A40" s="73" t="s">
        <v>280</v>
      </c>
      <c r="B40" s="74" t="s">
        <v>1077</v>
      </c>
      <c r="C40" s="74" t="s">
        <v>1078</v>
      </c>
      <c r="D40" s="73" t="s">
        <v>1079</v>
      </c>
    </row>
    <row r="41" spans="1:4" ht="30" hidden="1" outlineLevel="1" x14ac:dyDescent="0.25">
      <c r="A41" s="73" t="s">
        <v>297</v>
      </c>
      <c r="B41" s="74" t="s">
        <v>1080</v>
      </c>
      <c r="C41" s="74" t="s">
        <v>1081</v>
      </c>
      <c r="D41" s="73" t="s">
        <v>1082</v>
      </c>
    </row>
    <row r="42" spans="1:4" ht="30" hidden="1" outlineLevel="1" x14ac:dyDescent="0.25">
      <c r="A42" s="73" t="s">
        <v>528</v>
      </c>
      <c r="B42" s="74" t="s">
        <v>1083</v>
      </c>
      <c r="C42" s="74" t="s">
        <v>1084</v>
      </c>
      <c r="D42" s="73" t="s">
        <v>1085</v>
      </c>
    </row>
    <row r="43" spans="1:4" hidden="1" outlineLevel="1" x14ac:dyDescent="0.25">
      <c r="A43" s="73" t="s">
        <v>272</v>
      </c>
      <c r="B43" s="74" t="s">
        <v>1086</v>
      </c>
      <c r="C43" s="74" t="s">
        <v>1087</v>
      </c>
      <c r="D43" s="73" t="s">
        <v>1088</v>
      </c>
    </row>
    <row r="44" spans="1:4" collapsed="1" x14ac:dyDescent="0.25">
      <c r="A44" s="203" t="s">
        <v>1089</v>
      </c>
      <c r="B44" s="203"/>
      <c r="C44" s="203"/>
      <c r="D44" s="203"/>
    </row>
    <row r="45" spans="1:4" hidden="1" outlineLevel="1" x14ac:dyDescent="0.25">
      <c r="A45" s="73" t="s">
        <v>18</v>
      </c>
      <c r="B45" s="74" t="s">
        <v>1090</v>
      </c>
      <c r="C45" s="74" t="s">
        <v>1091</v>
      </c>
      <c r="D45" s="73" t="s">
        <v>1092</v>
      </c>
    </row>
    <row r="46" spans="1:4" hidden="1" outlineLevel="1" x14ac:dyDescent="0.25">
      <c r="A46" s="73" t="s">
        <v>19</v>
      </c>
      <c r="B46" s="74" t="s">
        <v>1093</v>
      </c>
      <c r="C46" s="74" t="s">
        <v>1094</v>
      </c>
      <c r="D46" s="73" t="s">
        <v>1092</v>
      </c>
    </row>
    <row r="47" spans="1:4" hidden="1" outlineLevel="1" x14ac:dyDescent="0.25">
      <c r="A47" s="73" t="s">
        <v>20</v>
      </c>
      <c r="B47" s="74" t="s">
        <v>1095</v>
      </c>
      <c r="C47" s="74" t="s">
        <v>1096</v>
      </c>
      <c r="D47" s="73" t="s">
        <v>1092</v>
      </c>
    </row>
    <row r="48" spans="1:4" hidden="1" outlineLevel="1" x14ac:dyDescent="0.25">
      <c r="A48" s="73" t="s">
        <v>21</v>
      </c>
      <c r="B48" s="74" t="s">
        <v>1097</v>
      </c>
      <c r="C48" s="74" t="s">
        <v>1098</v>
      </c>
      <c r="D48" s="73" t="s">
        <v>1092</v>
      </c>
    </row>
    <row r="49" spans="1:4" hidden="1" outlineLevel="1" x14ac:dyDescent="0.25">
      <c r="A49" s="73" t="s">
        <v>22</v>
      </c>
      <c r="B49" s="74" t="s">
        <v>1099</v>
      </c>
      <c r="C49" s="74" t="s">
        <v>1100</v>
      </c>
      <c r="D49" s="73" t="s">
        <v>1092</v>
      </c>
    </row>
    <row r="50" spans="1:4" hidden="1" outlineLevel="1" x14ac:dyDescent="0.25">
      <c r="A50" s="73" t="s">
        <v>23</v>
      </c>
      <c r="B50" s="74" t="s">
        <v>1101</v>
      </c>
      <c r="C50" s="74" t="s">
        <v>1102</v>
      </c>
      <c r="D50" s="73" t="s">
        <v>1092</v>
      </c>
    </row>
    <row r="51" spans="1:4" ht="30" hidden="1" outlineLevel="1" x14ac:dyDescent="0.25">
      <c r="A51" s="73" t="s">
        <v>24</v>
      </c>
      <c r="B51" s="74" t="s">
        <v>1103</v>
      </c>
      <c r="C51" s="74" t="s">
        <v>1104</v>
      </c>
      <c r="D51" s="73" t="s">
        <v>1092</v>
      </c>
    </row>
    <row r="52" spans="1:4" ht="30" hidden="1" outlineLevel="1" x14ac:dyDescent="0.25">
      <c r="A52" s="73" t="s">
        <v>1105</v>
      </c>
      <c r="B52" s="74" t="s">
        <v>1106</v>
      </c>
      <c r="C52" s="74" t="s">
        <v>1107</v>
      </c>
      <c r="D52" s="73" t="s">
        <v>1092</v>
      </c>
    </row>
    <row r="53" spans="1:4" ht="30" hidden="1" outlineLevel="1" x14ac:dyDescent="0.25">
      <c r="A53" s="73" t="s">
        <v>1108</v>
      </c>
      <c r="B53" s="74" t="s">
        <v>1109</v>
      </c>
      <c r="C53" s="74" t="s">
        <v>1110</v>
      </c>
      <c r="D53" s="73" t="s">
        <v>1092</v>
      </c>
    </row>
    <row r="54" spans="1:4" ht="30" hidden="1" outlineLevel="1" x14ac:dyDescent="0.25">
      <c r="A54" s="73" t="s">
        <v>1111</v>
      </c>
      <c r="B54" s="74" t="s">
        <v>1112</v>
      </c>
      <c r="C54" s="74" t="s">
        <v>1113</v>
      </c>
      <c r="D54" s="73" t="s">
        <v>1092</v>
      </c>
    </row>
    <row r="55" spans="1:4" ht="30" hidden="1" outlineLevel="1" x14ac:dyDescent="0.25">
      <c r="A55" s="73" t="s">
        <v>1114</v>
      </c>
      <c r="B55" s="74" t="s">
        <v>1115</v>
      </c>
      <c r="C55" s="74" t="s">
        <v>1116</v>
      </c>
      <c r="D55" s="73" t="s">
        <v>1092</v>
      </c>
    </row>
    <row r="56" spans="1:4" ht="30" hidden="1" outlineLevel="1" x14ac:dyDescent="0.25">
      <c r="A56" s="73" t="s">
        <v>1117</v>
      </c>
      <c r="B56" s="74" t="s">
        <v>1118</v>
      </c>
      <c r="C56" s="74" t="s">
        <v>1119</v>
      </c>
      <c r="D56" s="73" t="s">
        <v>1092</v>
      </c>
    </row>
    <row r="57" spans="1:4" ht="30" hidden="1" outlineLevel="1" x14ac:dyDescent="0.25">
      <c r="A57" s="73" t="s">
        <v>1120</v>
      </c>
      <c r="B57" s="74" t="s">
        <v>1121</v>
      </c>
      <c r="C57" s="74" t="s">
        <v>1122</v>
      </c>
      <c r="D57" s="73" t="s">
        <v>1092</v>
      </c>
    </row>
    <row r="58" spans="1:4" ht="30" hidden="1" outlineLevel="1" x14ac:dyDescent="0.25">
      <c r="A58" s="73" t="s">
        <v>1123</v>
      </c>
      <c r="B58" s="74" t="s">
        <v>1124</v>
      </c>
      <c r="C58" s="74" t="s">
        <v>1125</v>
      </c>
      <c r="D58" s="73" t="s">
        <v>1092</v>
      </c>
    </row>
    <row r="59" spans="1:4" hidden="1" outlineLevel="1" x14ac:dyDescent="0.25">
      <c r="A59" s="73" t="s">
        <v>1126</v>
      </c>
      <c r="B59" s="74" t="s">
        <v>1127</v>
      </c>
      <c r="C59" s="74" t="s">
        <v>1128</v>
      </c>
      <c r="D59" s="73" t="s">
        <v>1092</v>
      </c>
    </row>
    <row r="60" spans="1:4" hidden="1" outlineLevel="1" x14ac:dyDescent="0.25">
      <c r="A60" s="73" t="s">
        <v>1129</v>
      </c>
      <c r="B60" s="74" t="s">
        <v>1130</v>
      </c>
      <c r="C60" s="74" t="s">
        <v>1131</v>
      </c>
      <c r="D60" s="73" t="s">
        <v>1092</v>
      </c>
    </row>
    <row r="61" spans="1:4" hidden="1" outlineLevel="1" x14ac:dyDescent="0.25">
      <c r="A61" s="73" t="s">
        <v>1132</v>
      </c>
      <c r="B61" s="74" t="s">
        <v>1133</v>
      </c>
      <c r="C61" s="74" t="s">
        <v>1134</v>
      </c>
      <c r="D61" s="73" t="s">
        <v>1092</v>
      </c>
    </row>
    <row r="62" spans="1:4" hidden="1" outlineLevel="1" x14ac:dyDescent="0.25">
      <c r="A62" s="73" t="s">
        <v>1135</v>
      </c>
      <c r="B62" s="74" t="s">
        <v>1136</v>
      </c>
      <c r="C62" s="74" t="s">
        <v>1137</v>
      </c>
      <c r="D62" s="73" t="s">
        <v>1092</v>
      </c>
    </row>
    <row r="63" spans="1:4" hidden="1" outlineLevel="1" x14ac:dyDescent="0.25">
      <c r="A63" s="73" t="s">
        <v>1138</v>
      </c>
      <c r="B63" s="74" t="s">
        <v>1139</v>
      </c>
      <c r="C63" s="74" t="s">
        <v>1140</v>
      </c>
      <c r="D63" s="73" t="s">
        <v>1092</v>
      </c>
    </row>
    <row r="64" spans="1:4" hidden="1" outlineLevel="1" x14ac:dyDescent="0.25">
      <c r="A64" s="73" t="s">
        <v>1141</v>
      </c>
      <c r="B64" s="74" t="s">
        <v>1142</v>
      </c>
      <c r="C64" s="74" t="s">
        <v>1143</v>
      </c>
      <c r="D64" s="73" t="s">
        <v>1092</v>
      </c>
    </row>
    <row r="65" spans="1:4" hidden="1" outlineLevel="1" x14ac:dyDescent="0.25">
      <c r="A65" s="73" t="s">
        <v>1144</v>
      </c>
      <c r="B65" s="74" t="s">
        <v>1145</v>
      </c>
      <c r="C65" s="74" t="s">
        <v>1146</v>
      </c>
      <c r="D65" s="73" t="s">
        <v>1092</v>
      </c>
    </row>
    <row r="66" spans="1:4" hidden="1" outlineLevel="1" x14ac:dyDescent="0.25">
      <c r="A66" s="73" t="s">
        <v>1147</v>
      </c>
      <c r="B66" s="74" t="s">
        <v>1148</v>
      </c>
      <c r="C66" s="74" t="s">
        <v>1149</v>
      </c>
      <c r="D66" s="73" t="s">
        <v>1092</v>
      </c>
    </row>
    <row r="67" spans="1:4" hidden="1" outlineLevel="1" x14ac:dyDescent="0.25">
      <c r="A67" s="73" t="s">
        <v>1150</v>
      </c>
      <c r="B67" s="74" t="s">
        <v>1151</v>
      </c>
      <c r="C67" s="74" t="s">
        <v>1152</v>
      </c>
      <c r="D67" s="73" t="s">
        <v>1092</v>
      </c>
    </row>
    <row r="68" spans="1:4" hidden="1" outlineLevel="1" x14ac:dyDescent="0.25">
      <c r="A68" s="73" t="s">
        <v>1153</v>
      </c>
      <c r="B68" s="74" t="s">
        <v>1154</v>
      </c>
      <c r="C68" s="74" t="s">
        <v>1155</v>
      </c>
      <c r="D68" s="73" t="s">
        <v>1092</v>
      </c>
    </row>
    <row r="69" spans="1:4" collapsed="1" x14ac:dyDescent="0.25">
      <c r="A69" s="203" t="s">
        <v>1156</v>
      </c>
      <c r="B69" s="203"/>
      <c r="C69" s="203"/>
      <c r="D69" s="203"/>
    </row>
    <row r="70" spans="1:4" hidden="1" outlineLevel="1" x14ac:dyDescent="0.25">
      <c r="A70" s="73" t="s">
        <v>25</v>
      </c>
      <c r="B70" s="74" t="s">
        <v>1157</v>
      </c>
      <c r="C70" s="74" t="s">
        <v>1158</v>
      </c>
      <c r="D70" s="73" t="s">
        <v>478</v>
      </c>
    </row>
    <row r="71" spans="1:4" ht="30" hidden="1" outlineLevel="1" x14ac:dyDescent="0.25">
      <c r="A71" s="73" t="s">
        <v>375</v>
      </c>
      <c r="B71" s="74" t="s">
        <v>1159</v>
      </c>
      <c r="C71" s="74" t="s">
        <v>1160</v>
      </c>
      <c r="D71" s="73" t="s">
        <v>371</v>
      </c>
    </row>
    <row r="72" spans="1:4" ht="30" hidden="1" outlineLevel="1" x14ac:dyDescent="0.25">
      <c r="A72" s="73" t="s">
        <v>1161</v>
      </c>
      <c r="B72" s="74" t="s">
        <v>1162</v>
      </c>
      <c r="C72" s="74" t="s">
        <v>1163</v>
      </c>
      <c r="D72" s="73" t="s">
        <v>1164</v>
      </c>
    </row>
    <row r="73" spans="1:4" ht="30" hidden="1" outlineLevel="1" x14ac:dyDescent="0.25">
      <c r="A73" s="73" t="s">
        <v>381</v>
      </c>
      <c r="B73" s="74" t="s">
        <v>1165</v>
      </c>
      <c r="C73" s="74" t="s">
        <v>1166</v>
      </c>
      <c r="D73" s="73" t="s">
        <v>1167</v>
      </c>
    </row>
    <row r="74" spans="1:4" hidden="1" outlineLevel="1" x14ac:dyDescent="0.25">
      <c r="A74" s="73" t="s">
        <v>1168</v>
      </c>
      <c r="B74" s="74" t="s">
        <v>1169</v>
      </c>
      <c r="C74" s="74" t="s">
        <v>1170</v>
      </c>
      <c r="D74" s="73" t="s">
        <v>406</v>
      </c>
    </row>
    <row r="75" spans="1:4" ht="30" hidden="1" outlineLevel="1" x14ac:dyDescent="0.25">
      <c r="A75" s="73" t="s">
        <v>1171</v>
      </c>
      <c r="B75" s="74" t="s">
        <v>1172</v>
      </c>
      <c r="C75" s="74" t="s">
        <v>1173</v>
      </c>
      <c r="D75" s="73" t="s">
        <v>442</v>
      </c>
    </row>
    <row r="76" spans="1:4" ht="30" hidden="1" outlineLevel="1" x14ac:dyDescent="0.25">
      <c r="A76" s="73" t="s">
        <v>1174</v>
      </c>
      <c r="B76" s="74" t="s">
        <v>1175</v>
      </c>
      <c r="C76" s="74" t="s">
        <v>1176</v>
      </c>
      <c r="D76" s="73" t="s">
        <v>1177</v>
      </c>
    </row>
    <row r="77" spans="1:4" hidden="1" outlineLevel="1" x14ac:dyDescent="0.25">
      <c r="A77" s="73" t="s">
        <v>1178</v>
      </c>
      <c r="B77" s="74" t="s">
        <v>1179</v>
      </c>
      <c r="C77" s="74" t="s">
        <v>1180</v>
      </c>
      <c r="D77" s="73" t="s">
        <v>415</v>
      </c>
    </row>
    <row r="78" spans="1:4" hidden="1" outlineLevel="1" x14ac:dyDescent="0.25">
      <c r="A78" s="73" t="s">
        <v>1181</v>
      </c>
      <c r="B78" s="74" t="s">
        <v>1182</v>
      </c>
      <c r="C78" s="74" t="s">
        <v>1183</v>
      </c>
      <c r="D78" s="73" t="s">
        <v>383</v>
      </c>
    </row>
    <row r="79" spans="1:4" hidden="1" outlineLevel="1" x14ac:dyDescent="0.25">
      <c r="A79" s="73" t="s">
        <v>369</v>
      </c>
      <c r="B79" s="74" t="s">
        <v>1184</v>
      </c>
      <c r="C79" s="74" t="s">
        <v>1185</v>
      </c>
      <c r="D79" s="73" t="s">
        <v>1186</v>
      </c>
    </row>
    <row r="80" spans="1:4" hidden="1" outlineLevel="1" x14ac:dyDescent="0.25">
      <c r="A80" s="73" t="s">
        <v>1187</v>
      </c>
      <c r="B80" s="74" t="s">
        <v>1188</v>
      </c>
      <c r="C80" s="74" t="s">
        <v>1189</v>
      </c>
      <c r="D80" s="73" t="s">
        <v>1190</v>
      </c>
    </row>
    <row r="81" spans="1:4" hidden="1" outlineLevel="1" x14ac:dyDescent="0.25">
      <c r="A81" s="73" t="s">
        <v>1191</v>
      </c>
      <c r="B81" s="74" t="s">
        <v>1192</v>
      </c>
      <c r="C81" s="74" t="s">
        <v>1193</v>
      </c>
      <c r="D81" s="73" t="s">
        <v>406</v>
      </c>
    </row>
    <row r="82" spans="1:4" collapsed="1" x14ac:dyDescent="0.25">
      <c r="A82" s="203" t="s">
        <v>1194</v>
      </c>
      <c r="B82" s="203"/>
      <c r="C82" s="203"/>
      <c r="D82" s="203"/>
    </row>
    <row r="83" spans="1:4" hidden="1" outlineLevel="1" x14ac:dyDescent="0.25">
      <c r="A83" s="73" t="s">
        <v>26</v>
      </c>
      <c r="B83" s="74" t="s">
        <v>1195</v>
      </c>
      <c r="C83" s="74" t="s">
        <v>1196</v>
      </c>
      <c r="D83" s="73" t="s">
        <v>55</v>
      </c>
    </row>
    <row r="84" spans="1:4" ht="30" hidden="1" outlineLevel="1" x14ac:dyDescent="0.25">
      <c r="A84" s="73" t="s">
        <v>27</v>
      </c>
      <c r="B84" s="74" t="s">
        <v>1197</v>
      </c>
      <c r="C84" s="74" t="s">
        <v>1198</v>
      </c>
      <c r="D84" s="73" t="s">
        <v>489</v>
      </c>
    </row>
    <row r="85" spans="1:4" ht="30" hidden="1" outlineLevel="1" x14ac:dyDescent="0.25">
      <c r="A85" s="73" t="s">
        <v>28</v>
      </c>
      <c r="B85" s="74" t="s">
        <v>1199</v>
      </c>
      <c r="C85" s="74" t="s">
        <v>1200</v>
      </c>
      <c r="D85" s="73" t="s">
        <v>55</v>
      </c>
    </row>
    <row r="86" spans="1:4" ht="45" hidden="1" outlineLevel="1" x14ac:dyDescent="0.25">
      <c r="A86" s="73" t="s">
        <v>29</v>
      </c>
      <c r="B86" s="74" t="s">
        <v>1201</v>
      </c>
      <c r="C86" s="74" t="s">
        <v>1202</v>
      </c>
      <c r="D86" s="73" t="s">
        <v>486</v>
      </c>
    </row>
    <row r="87" spans="1:4" ht="30" hidden="1" outlineLevel="1" x14ac:dyDescent="0.25">
      <c r="A87" s="73" t="s">
        <v>30</v>
      </c>
      <c r="B87" s="74" t="s">
        <v>1203</v>
      </c>
      <c r="C87" s="74" t="s">
        <v>1204</v>
      </c>
      <c r="D87" s="73" t="s">
        <v>1205</v>
      </c>
    </row>
    <row r="88" spans="1:4" ht="165" hidden="1" outlineLevel="1" x14ac:dyDescent="0.25">
      <c r="A88" s="73" t="s">
        <v>31</v>
      </c>
      <c r="B88" s="74" t="s">
        <v>1206</v>
      </c>
      <c r="C88" s="74" t="s">
        <v>1207</v>
      </c>
      <c r="D88" s="73" t="s">
        <v>952</v>
      </c>
    </row>
    <row r="89" spans="1:4" ht="30" hidden="1" outlineLevel="1" x14ac:dyDescent="0.25">
      <c r="A89" s="73" t="s">
        <v>32</v>
      </c>
      <c r="B89" s="74" t="s">
        <v>1208</v>
      </c>
      <c r="C89" s="74" t="s">
        <v>1209</v>
      </c>
      <c r="D89" s="73" t="s">
        <v>504</v>
      </c>
    </row>
    <row r="90" spans="1:4" ht="30" hidden="1" outlineLevel="1" x14ac:dyDescent="0.25">
      <c r="A90" s="73" t="s">
        <v>1210</v>
      </c>
      <c r="B90" s="74" t="s">
        <v>1211</v>
      </c>
      <c r="C90" s="74" t="s">
        <v>1212</v>
      </c>
      <c r="D90" s="73" t="s">
        <v>55</v>
      </c>
    </row>
    <row r="91" spans="1:4" ht="30" hidden="1" outlineLevel="1" x14ac:dyDescent="0.25">
      <c r="A91" s="73" t="s">
        <v>1213</v>
      </c>
      <c r="B91" s="74" t="s">
        <v>1214</v>
      </c>
      <c r="C91" s="74" t="s">
        <v>1215</v>
      </c>
      <c r="D91" s="73" t="s">
        <v>55</v>
      </c>
    </row>
    <row r="92" spans="1:4" ht="45" hidden="1" outlineLevel="1" x14ac:dyDescent="0.25">
      <c r="A92" s="73" t="s">
        <v>435</v>
      </c>
      <c r="B92" s="74" t="s">
        <v>1216</v>
      </c>
      <c r="C92" s="74" t="s">
        <v>1217</v>
      </c>
      <c r="D92" s="73" t="s">
        <v>1218</v>
      </c>
    </row>
    <row r="93" spans="1:4" ht="30" hidden="1" outlineLevel="1" x14ac:dyDescent="0.25">
      <c r="A93" s="73" t="s">
        <v>1219</v>
      </c>
      <c r="B93" s="74" t="s">
        <v>1220</v>
      </c>
      <c r="C93" s="74" t="s">
        <v>1221</v>
      </c>
      <c r="D93" s="73" t="s">
        <v>863</v>
      </c>
    </row>
    <row r="94" spans="1:4" ht="30" hidden="1" outlineLevel="1" x14ac:dyDescent="0.25">
      <c r="A94" s="73" t="s">
        <v>1222</v>
      </c>
      <c r="B94" s="74" t="s">
        <v>1223</v>
      </c>
      <c r="C94" s="74" t="s">
        <v>1224</v>
      </c>
      <c r="D94" s="73" t="s">
        <v>863</v>
      </c>
    </row>
    <row r="95" spans="1:4" ht="30" hidden="1" outlineLevel="1" x14ac:dyDescent="0.25">
      <c r="A95" s="73" t="s">
        <v>485</v>
      </c>
      <c r="B95" s="74" t="s">
        <v>1225</v>
      </c>
      <c r="C95" s="74" t="s">
        <v>1226</v>
      </c>
      <c r="D95" s="73" t="s">
        <v>1227</v>
      </c>
    </row>
    <row r="96" spans="1:4" ht="45" hidden="1" outlineLevel="1" x14ac:dyDescent="0.25">
      <c r="A96" s="73" t="s">
        <v>1228</v>
      </c>
      <c r="B96" s="74" t="s">
        <v>1229</v>
      </c>
      <c r="C96" s="74" t="s">
        <v>1230</v>
      </c>
      <c r="D96" s="73" t="s">
        <v>55</v>
      </c>
    </row>
    <row r="97" spans="1:4" ht="30" hidden="1" outlineLevel="1" x14ac:dyDescent="0.25">
      <c r="A97" s="73" t="s">
        <v>1231</v>
      </c>
      <c r="B97" s="74" t="s">
        <v>1232</v>
      </c>
      <c r="C97" s="74" t="s">
        <v>1233</v>
      </c>
      <c r="D97" s="73" t="s">
        <v>55</v>
      </c>
    </row>
    <row r="98" spans="1:4" ht="30" hidden="1" outlineLevel="1" x14ac:dyDescent="0.25">
      <c r="A98" s="73" t="s">
        <v>462</v>
      </c>
      <c r="B98" s="74" t="s">
        <v>1234</v>
      </c>
      <c r="C98" s="74" t="s">
        <v>1235</v>
      </c>
      <c r="D98" s="73" t="s">
        <v>459</v>
      </c>
    </row>
    <row r="99" spans="1:4" ht="30" hidden="1" outlineLevel="1" x14ac:dyDescent="0.25">
      <c r="A99" s="73" t="s">
        <v>466</v>
      </c>
      <c r="B99" s="74" t="s">
        <v>1236</v>
      </c>
      <c r="C99" s="74" t="s">
        <v>1237</v>
      </c>
      <c r="D99" s="73" t="s">
        <v>463</v>
      </c>
    </row>
    <row r="100" spans="1:4" ht="30" hidden="1" outlineLevel="1" x14ac:dyDescent="0.25">
      <c r="A100" s="73" t="s">
        <v>1238</v>
      </c>
      <c r="B100" s="74" t="s">
        <v>1239</v>
      </c>
      <c r="C100" s="74" t="s">
        <v>1240</v>
      </c>
      <c r="D100" s="73" t="s">
        <v>55</v>
      </c>
    </row>
    <row r="101" spans="1:4" ht="30" hidden="1" outlineLevel="1" x14ac:dyDescent="0.25">
      <c r="A101" s="73" t="s">
        <v>1241</v>
      </c>
      <c r="B101" s="74" t="s">
        <v>1242</v>
      </c>
      <c r="C101" s="74" t="s">
        <v>1243</v>
      </c>
      <c r="D101" s="73" t="s">
        <v>863</v>
      </c>
    </row>
    <row r="102" spans="1:4" ht="30" hidden="1" outlineLevel="1" x14ac:dyDescent="0.25">
      <c r="A102" s="73" t="s">
        <v>1244</v>
      </c>
      <c r="B102" s="74" t="s">
        <v>1245</v>
      </c>
      <c r="C102" s="74" t="s">
        <v>1246</v>
      </c>
      <c r="D102" s="73" t="s">
        <v>446</v>
      </c>
    </row>
    <row r="103" spans="1:4" ht="60" hidden="1" outlineLevel="1" x14ac:dyDescent="0.25">
      <c r="A103" s="73" t="s">
        <v>469</v>
      </c>
      <c r="B103" s="74" t="s">
        <v>1247</v>
      </c>
      <c r="C103" s="74" t="s">
        <v>1248</v>
      </c>
      <c r="D103" s="73" t="s">
        <v>467</v>
      </c>
    </row>
    <row r="104" spans="1:4" ht="45" hidden="1" outlineLevel="1" x14ac:dyDescent="0.25">
      <c r="A104" s="73" t="s">
        <v>501</v>
      </c>
      <c r="B104" s="74" t="s">
        <v>1249</v>
      </c>
      <c r="C104" s="74" t="s">
        <v>1250</v>
      </c>
      <c r="D104" s="73" t="s">
        <v>981</v>
      </c>
    </row>
    <row r="105" spans="1:4" hidden="1" outlineLevel="1" x14ac:dyDescent="0.25">
      <c r="A105" s="73" t="s">
        <v>1251</v>
      </c>
      <c r="B105" s="74" t="s">
        <v>1252</v>
      </c>
      <c r="C105" s="74" t="s">
        <v>1253</v>
      </c>
      <c r="D105" s="73" t="s">
        <v>55</v>
      </c>
    </row>
    <row r="106" spans="1:4" hidden="1" outlineLevel="1" x14ac:dyDescent="0.25">
      <c r="A106" s="73" t="s">
        <v>1254</v>
      </c>
      <c r="B106" s="74" t="s">
        <v>1255</v>
      </c>
      <c r="C106" s="74" t="s">
        <v>1256</v>
      </c>
      <c r="D106" s="73" t="s">
        <v>455</v>
      </c>
    </row>
    <row r="107" spans="1:4" ht="30" hidden="1" outlineLevel="1" x14ac:dyDescent="0.25">
      <c r="A107" s="73" t="s">
        <v>1257</v>
      </c>
      <c r="B107" s="74" t="s">
        <v>1258</v>
      </c>
      <c r="C107" s="74" t="s">
        <v>1259</v>
      </c>
      <c r="D107" s="73" t="s">
        <v>1260</v>
      </c>
    </row>
    <row r="108" spans="1:4" hidden="1" outlineLevel="1" x14ac:dyDescent="0.25">
      <c r="A108" s="73" t="s">
        <v>1261</v>
      </c>
      <c r="B108" s="74" t="s">
        <v>1262</v>
      </c>
      <c r="C108" s="74" t="s">
        <v>1263</v>
      </c>
      <c r="D108" s="73" t="s">
        <v>1264</v>
      </c>
    </row>
    <row r="109" spans="1:4" ht="30" hidden="1" outlineLevel="1" x14ac:dyDescent="0.25">
      <c r="A109" s="73" t="s">
        <v>1265</v>
      </c>
      <c r="B109" s="74" t="s">
        <v>1266</v>
      </c>
      <c r="C109" s="74" t="s">
        <v>1267</v>
      </c>
      <c r="D109" s="73" t="s">
        <v>1268</v>
      </c>
    </row>
    <row r="110" spans="1:4" ht="30" hidden="1" outlineLevel="1" x14ac:dyDescent="0.25">
      <c r="A110" s="73" t="s">
        <v>454</v>
      </c>
      <c r="B110" s="74" t="s">
        <v>1269</v>
      </c>
      <c r="C110" s="74" t="s">
        <v>1270</v>
      </c>
      <c r="D110" s="73" t="s">
        <v>451</v>
      </c>
    </row>
    <row r="111" spans="1:4" hidden="1" outlineLevel="1" x14ac:dyDescent="0.25">
      <c r="A111" s="73" t="s">
        <v>1271</v>
      </c>
      <c r="B111" s="74" t="s">
        <v>1272</v>
      </c>
      <c r="C111" s="74" t="s">
        <v>1273</v>
      </c>
      <c r="D111" s="73" t="s">
        <v>863</v>
      </c>
    </row>
    <row r="112" spans="1:4" ht="30" hidden="1" outlineLevel="1" x14ac:dyDescent="0.25">
      <c r="A112" s="73" t="s">
        <v>1274</v>
      </c>
      <c r="B112" s="74" t="s">
        <v>1275</v>
      </c>
      <c r="C112" s="74" t="s">
        <v>1276</v>
      </c>
      <c r="D112" s="73" t="s">
        <v>1044</v>
      </c>
    </row>
    <row r="113" spans="1:4" hidden="1" outlineLevel="1" x14ac:dyDescent="0.25">
      <c r="A113" s="73" t="s">
        <v>1277</v>
      </c>
      <c r="B113" s="74" t="s">
        <v>1278</v>
      </c>
      <c r="C113" s="74" t="s">
        <v>1279</v>
      </c>
      <c r="D113" s="73" t="s">
        <v>55</v>
      </c>
    </row>
    <row r="114" spans="1:4" hidden="1" outlineLevel="1" x14ac:dyDescent="0.25">
      <c r="A114" s="73" t="s">
        <v>1280</v>
      </c>
      <c r="B114" s="74" t="s">
        <v>1281</v>
      </c>
      <c r="C114" s="74" t="s">
        <v>1282</v>
      </c>
      <c r="D114" s="73" t="s">
        <v>55</v>
      </c>
    </row>
    <row r="115" spans="1:4" collapsed="1" x14ac:dyDescent="0.25">
      <c r="A115" s="203" t="s">
        <v>1283</v>
      </c>
      <c r="B115" s="203"/>
      <c r="C115" s="203"/>
      <c r="D115" s="203"/>
    </row>
    <row r="116" spans="1:4" hidden="1" outlineLevel="1" x14ac:dyDescent="0.25">
      <c r="A116" s="73" t="s">
        <v>304</v>
      </c>
      <c r="B116" s="74" t="s">
        <v>1284</v>
      </c>
      <c r="C116" s="74" t="s">
        <v>1285</v>
      </c>
      <c r="D116" s="73" t="s">
        <v>1286</v>
      </c>
    </row>
    <row r="117" spans="1:4" hidden="1" outlineLevel="1" x14ac:dyDescent="0.25">
      <c r="A117" s="73" t="s">
        <v>1287</v>
      </c>
      <c r="B117" s="74" t="s">
        <v>1288</v>
      </c>
      <c r="C117" s="74" t="s">
        <v>1289</v>
      </c>
      <c r="D117" s="73" t="s">
        <v>1290</v>
      </c>
    </row>
    <row r="118" spans="1:4" collapsed="1" x14ac:dyDescent="0.25">
      <c r="A118" s="203" t="s">
        <v>1291</v>
      </c>
      <c r="B118" s="203"/>
      <c r="C118" s="203"/>
      <c r="D118" s="203"/>
    </row>
    <row r="119" spans="1:4" hidden="1" outlineLevel="1" x14ac:dyDescent="0.25">
      <c r="A119" s="73" t="s">
        <v>282</v>
      </c>
      <c r="B119" s="74" t="s">
        <v>1292</v>
      </c>
      <c r="C119" s="74" t="s">
        <v>1293</v>
      </c>
      <c r="D119" s="73" t="s">
        <v>1294</v>
      </c>
    </row>
    <row r="120" spans="1:4" ht="30" hidden="1" outlineLevel="1" x14ac:dyDescent="0.25">
      <c r="A120" s="73" t="s">
        <v>315</v>
      </c>
      <c r="B120" s="74" t="s">
        <v>1295</v>
      </c>
      <c r="C120" s="74" t="s">
        <v>1296</v>
      </c>
      <c r="D120" s="73" t="s">
        <v>1297</v>
      </c>
    </row>
    <row r="121" spans="1:4" hidden="1" outlineLevel="1" x14ac:dyDescent="0.25">
      <c r="A121" s="73" t="s">
        <v>173</v>
      </c>
      <c r="B121" s="74" t="s">
        <v>1298</v>
      </c>
      <c r="C121" s="74" t="s">
        <v>1299</v>
      </c>
      <c r="D121" s="73" t="s">
        <v>1300</v>
      </c>
    </row>
    <row r="122" spans="1:4" ht="30" hidden="1" outlineLevel="1" x14ac:dyDescent="0.25">
      <c r="A122" s="73" t="s">
        <v>254</v>
      </c>
      <c r="B122" s="74" t="s">
        <v>1301</v>
      </c>
      <c r="C122" s="74" t="s">
        <v>1302</v>
      </c>
      <c r="D122" s="73" t="s">
        <v>1303</v>
      </c>
    </row>
    <row r="123" spans="1:4" hidden="1" outlineLevel="1" x14ac:dyDescent="0.25">
      <c r="A123" s="73" t="s">
        <v>361</v>
      </c>
      <c r="B123" s="74" t="s">
        <v>1304</v>
      </c>
      <c r="C123" s="74" t="s">
        <v>1305</v>
      </c>
      <c r="D123" s="73" t="s">
        <v>1306</v>
      </c>
    </row>
    <row r="124" spans="1:4" hidden="1" outlineLevel="1" x14ac:dyDescent="0.25">
      <c r="A124" s="73" t="s">
        <v>365</v>
      </c>
      <c r="B124" s="74" t="s">
        <v>1307</v>
      </c>
      <c r="C124" s="74" t="s">
        <v>1308</v>
      </c>
      <c r="D124" s="73" t="s">
        <v>1309</v>
      </c>
    </row>
    <row r="125" spans="1:4" hidden="1" outlineLevel="1" x14ac:dyDescent="0.25">
      <c r="A125" s="73" t="s">
        <v>320</v>
      </c>
      <c r="B125" s="74" t="s">
        <v>1310</v>
      </c>
      <c r="C125" s="74" t="s">
        <v>1311</v>
      </c>
      <c r="D125" s="73" t="s">
        <v>1312</v>
      </c>
    </row>
    <row r="126" spans="1:4" hidden="1" outlineLevel="1" x14ac:dyDescent="0.25">
      <c r="A126" s="73" t="s">
        <v>346</v>
      </c>
      <c r="B126" s="74" t="s">
        <v>1313</v>
      </c>
      <c r="C126" s="74" t="s">
        <v>1314</v>
      </c>
      <c r="D126" s="73" t="s">
        <v>1315</v>
      </c>
    </row>
    <row r="127" spans="1:4" hidden="1" outlineLevel="1" x14ac:dyDescent="0.25">
      <c r="A127" s="73" t="s">
        <v>312</v>
      </c>
      <c r="B127" s="74" t="s">
        <v>1316</v>
      </c>
      <c r="C127" s="74" t="s">
        <v>1317</v>
      </c>
      <c r="D127" s="73" t="s">
        <v>1318</v>
      </c>
    </row>
    <row r="128" spans="1:4" collapsed="1" x14ac:dyDescent="0.25"/>
  </sheetData>
  <mergeCells count="9">
    <mergeCell ref="A82:D82"/>
    <mergeCell ref="A115:D115"/>
    <mergeCell ref="A118:D118"/>
    <mergeCell ref="A2:D2"/>
    <mergeCell ref="A3:D3"/>
    <mergeCell ref="A22:D22"/>
    <mergeCell ref="A25:D25"/>
    <mergeCell ref="A44:D44"/>
    <mergeCell ref="A69:D69"/>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165"/>
  <sheetViews>
    <sheetView zoomScale="85" zoomScaleNormal="85" workbookViewId="0">
      <pane xSplit="1" ySplit="1" topLeftCell="B2" activePane="bottomRight" state="frozen"/>
      <selection pane="topRight" activeCell="B1" sqref="B1"/>
      <selection pane="bottomLeft" activeCell="A2" sqref="A2"/>
      <selection pane="bottomRight" activeCell="D181" sqref="D181"/>
    </sheetView>
  </sheetViews>
  <sheetFormatPr defaultColWidth="8.7109375" defaultRowHeight="15" outlineLevelRow="1" x14ac:dyDescent="0.25"/>
  <cols>
    <col min="1" max="1" width="12.5703125" style="12" bestFit="1" customWidth="1"/>
    <col min="2" max="2" width="94.7109375" style="44" bestFit="1" customWidth="1"/>
    <col min="3" max="3" width="124.7109375" style="44" bestFit="1" customWidth="1"/>
    <col min="4" max="4" width="33.7109375" style="12" customWidth="1"/>
    <col min="5" max="16384" width="8.7109375" style="7"/>
  </cols>
  <sheetData>
    <row r="1" spans="1:14" ht="33" x14ac:dyDescent="0.25">
      <c r="A1" s="82" t="s">
        <v>572</v>
      </c>
      <c r="B1" s="83" t="s">
        <v>36</v>
      </c>
      <c r="C1" s="82" t="s">
        <v>48</v>
      </c>
      <c r="D1" s="83" t="s">
        <v>573</v>
      </c>
    </row>
    <row r="2" spans="1:14" x14ac:dyDescent="0.25">
      <c r="A2" s="204" t="s">
        <v>574</v>
      </c>
      <c r="B2" s="205"/>
      <c r="C2" s="205"/>
      <c r="D2" s="206"/>
      <c r="E2" s="56"/>
      <c r="F2" s="56"/>
      <c r="G2" s="56"/>
      <c r="H2" s="56"/>
      <c r="I2" s="56"/>
      <c r="J2" s="56"/>
      <c r="K2" s="56"/>
      <c r="L2" s="56"/>
      <c r="M2" s="56"/>
      <c r="N2" s="56"/>
    </row>
    <row r="3" spans="1:14" x14ac:dyDescent="0.25">
      <c r="A3" s="207" t="s">
        <v>575</v>
      </c>
      <c r="B3" s="207"/>
      <c r="C3" s="207"/>
      <c r="D3" s="207"/>
    </row>
    <row r="4" spans="1:14" hidden="1" outlineLevel="1" x14ac:dyDescent="0.25">
      <c r="A4" s="6" t="s">
        <v>267</v>
      </c>
      <c r="B4" s="9" t="s">
        <v>576</v>
      </c>
      <c r="C4" s="9" t="s">
        <v>577</v>
      </c>
      <c r="D4" s="6" t="s">
        <v>578</v>
      </c>
    </row>
    <row r="5" spans="1:14" hidden="1" outlineLevel="1" x14ac:dyDescent="0.25">
      <c r="A5" s="6" t="s">
        <v>326</v>
      </c>
      <c r="B5" s="9" t="s">
        <v>579</v>
      </c>
      <c r="C5" s="9" t="s">
        <v>580</v>
      </c>
      <c r="D5" s="6" t="s">
        <v>578</v>
      </c>
    </row>
    <row r="6" spans="1:14" hidden="1" outlineLevel="1" x14ac:dyDescent="0.25">
      <c r="A6" s="6" t="s">
        <v>286</v>
      </c>
      <c r="B6" s="9" t="s">
        <v>581</v>
      </c>
      <c r="C6" s="9" t="s">
        <v>582</v>
      </c>
      <c r="D6" s="6" t="s">
        <v>578</v>
      </c>
    </row>
    <row r="7" spans="1:14" hidden="1" outlineLevel="1" x14ac:dyDescent="0.25">
      <c r="A7" s="6" t="s">
        <v>583</v>
      </c>
      <c r="B7" s="9" t="s">
        <v>584</v>
      </c>
      <c r="C7" s="9" t="s">
        <v>585</v>
      </c>
      <c r="D7" s="6" t="s">
        <v>578</v>
      </c>
    </row>
    <row r="8" spans="1:14" hidden="1" outlineLevel="1" x14ac:dyDescent="0.25">
      <c r="A8" s="6" t="s">
        <v>586</v>
      </c>
      <c r="B8" s="9" t="s">
        <v>587</v>
      </c>
      <c r="C8" s="9" t="s">
        <v>588</v>
      </c>
      <c r="D8" s="6" t="s">
        <v>578</v>
      </c>
    </row>
    <row r="9" spans="1:14" hidden="1" outlineLevel="1" x14ac:dyDescent="0.25">
      <c r="A9" s="6" t="s">
        <v>589</v>
      </c>
      <c r="B9" s="9" t="s">
        <v>590</v>
      </c>
      <c r="C9" s="9" t="s">
        <v>591</v>
      </c>
      <c r="D9" s="6" t="s">
        <v>578</v>
      </c>
    </row>
    <row r="10" spans="1:14" hidden="1" outlineLevel="1" x14ac:dyDescent="0.25">
      <c r="A10" s="6" t="s">
        <v>592</v>
      </c>
      <c r="B10" s="9" t="s">
        <v>593</v>
      </c>
      <c r="C10" s="9" t="s">
        <v>594</v>
      </c>
      <c r="D10" s="6" t="s">
        <v>578</v>
      </c>
    </row>
    <row r="11" spans="1:14" hidden="1" outlineLevel="1" x14ac:dyDescent="0.25">
      <c r="A11" s="6" t="s">
        <v>595</v>
      </c>
      <c r="B11" s="9" t="s">
        <v>596</v>
      </c>
      <c r="C11" s="9" t="s">
        <v>597</v>
      </c>
      <c r="D11" s="6" t="s">
        <v>578</v>
      </c>
    </row>
    <row r="12" spans="1:14" hidden="1" outlineLevel="1" x14ac:dyDescent="0.25">
      <c r="A12" s="6" t="s">
        <v>598</v>
      </c>
      <c r="B12" s="9" t="s">
        <v>599</v>
      </c>
      <c r="C12" s="9" t="s">
        <v>600</v>
      </c>
      <c r="D12" s="6" t="s">
        <v>578</v>
      </c>
    </row>
    <row r="13" spans="1:14" hidden="1" outlineLevel="1" x14ac:dyDescent="0.25">
      <c r="A13" s="6" t="s">
        <v>601</v>
      </c>
      <c r="B13" s="9" t="s">
        <v>602</v>
      </c>
      <c r="C13" s="9" t="s">
        <v>603</v>
      </c>
      <c r="D13" s="6" t="s">
        <v>578</v>
      </c>
    </row>
    <row r="14" spans="1:14" hidden="1" outlineLevel="1" x14ac:dyDescent="0.25">
      <c r="A14" s="6" t="s">
        <v>604</v>
      </c>
      <c r="B14" s="9" t="s">
        <v>605</v>
      </c>
      <c r="C14" s="9" t="s">
        <v>606</v>
      </c>
      <c r="D14" s="6" t="s">
        <v>578</v>
      </c>
    </row>
    <row r="15" spans="1:14" hidden="1" outlineLevel="1" x14ac:dyDescent="0.25">
      <c r="A15" s="6" t="s">
        <v>607</v>
      </c>
      <c r="B15" s="9" t="s">
        <v>608</v>
      </c>
      <c r="C15" s="9" t="s">
        <v>609</v>
      </c>
      <c r="D15" s="6" t="s">
        <v>578</v>
      </c>
    </row>
    <row r="16" spans="1:14" hidden="1" outlineLevel="1" x14ac:dyDescent="0.25">
      <c r="A16" s="6" t="s">
        <v>610</v>
      </c>
      <c r="B16" s="9" t="s">
        <v>611</v>
      </c>
      <c r="C16" s="9" t="s">
        <v>612</v>
      </c>
      <c r="D16" s="6" t="s">
        <v>578</v>
      </c>
    </row>
    <row r="17" spans="1:4" hidden="1" outlineLevel="1" x14ac:dyDescent="0.25">
      <c r="A17" s="6" t="s">
        <v>613</v>
      </c>
      <c r="B17" s="9" t="s">
        <v>614</v>
      </c>
      <c r="C17" s="9" t="s">
        <v>615</v>
      </c>
      <c r="D17" s="6" t="s">
        <v>578</v>
      </c>
    </row>
    <row r="18" spans="1:4" hidden="1" outlineLevel="1" x14ac:dyDescent="0.25">
      <c r="A18" s="6" t="s">
        <v>616</v>
      </c>
      <c r="B18" s="9" t="s">
        <v>617</v>
      </c>
      <c r="C18" s="9" t="s">
        <v>618</v>
      </c>
      <c r="D18" s="6" t="s">
        <v>578</v>
      </c>
    </row>
    <row r="19" spans="1:4" hidden="1" outlineLevel="1" x14ac:dyDescent="0.25">
      <c r="A19" s="6" t="s">
        <v>619</v>
      </c>
      <c r="B19" s="9" t="s">
        <v>620</v>
      </c>
      <c r="C19" s="9" t="s">
        <v>621</v>
      </c>
      <c r="D19" s="6" t="s">
        <v>578</v>
      </c>
    </row>
    <row r="20" spans="1:4" hidden="1" outlineLevel="1" x14ac:dyDescent="0.25">
      <c r="A20" s="6" t="s">
        <v>622</v>
      </c>
      <c r="B20" s="9" t="s">
        <v>623</v>
      </c>
      <c r="C20" s="9" t="s">
        <v>624</v>
      </c>
      <c r="D20" s="6" t="s">
        <v>578</v>
      </c>
    </row>
    <row r="21" spans="1:4" hidden="1" outlineLevel="1" x14ac:dyDescent="0.25">
      <c r="A21" s="6" t="s">
        <v>625</v>
      </c>
      <c r="B21" s="9" t="s">
        <v>626</v>
      </c>
      <c r="C21" s="9" t="s">
        <v>627</v>
      </c>
      <c r="D21" s="6" t="s">
        <v>578</v>
      </c>
    </row>
    <row r="22" spans="1:4" hidden="1" outlineLevel="1" x14ac:dyDescent="0.25">
      <c r="A22" s="6" t="s">
        <v>628</v>
      </c>
      <c r="B22" s="9" t="s">
        <v>629</v>
      </c>
      <c r="C22" s="9" t="s">
        <v>630</v>
      </c>
      <c r="D22" s="6" t="s">
        <v>578</v>
      </c>
    </row>
    <row r="23" spans="1:4" hidden="1" outlineLevel="1" x14ac:dyDescent="0.25">
      <c r="A23" s="6" t="s">
        <v>631</v>
      </c>
      <c r="B23" s="9" t="s">
        <v>632</v>
      </c>
      <c r="C23" s="9" t="s">
        <v>633</v>
      </c>
      <c r="D23" s="6" t="s">
        <v>578</v>
      </c>
    </row>
    <row r="24" spans="1:4" hidden="1" outlineLevel="1" x14ac:dyDescent="0.25">
      <c r="A24" s="6" t="s">
        <v>634</v>
      </c>
      <c r="B24" s="9" t="s">
        <v>635</v>
      </c>
      <c r="C24" s="9" t="s">
        <v>636</v>
      </c>
      <c r="D24" s="6" t="s">
        <v>578</v>
      </c>
    </row>
    <row r="25" spans="1:4" collapsed="1" x14ac:dyDescent="0.25">
      <c r="A25" s="207" t="s">
        <v>637</v>
      </c>
      <c r="B25" s="207"/>
      <c r="C25" s="207"/>
      <c r="D25" s="207"/>
    </row>
    <row r="26" spans="1:4" hidden="1" outlineLevel="1" x14ac:dyDescent="0.25">
      <c r="A26" s="6" t="s">
        <v>85</v>
      </c>
      <c r="B26" s="9" t="s">
        <v>638</v>
      </c>
      <c r="C26" s="9" t="s">
        <v>639</v>
      </c>
      <c r="D26" s="6" t="s">
        <v>640</v>
      </c>
    </row>
    <row r="27" spans="1:4" hidden="1" outlineLevel="1" x14ac:dyDescent="0.25">
      <c r="A27" s="6" t="s">
        <v>162</v>
      </c>
      <c r="B27" s="9" t="s">
        <v>641</v>
      </c>
      <c r="C27" s="9" t="s">
        <v>642</v>
      </c>
      <c r="D27" s="6" t="s">
        <v>643</v>
      </c>
    </row>
    <row r="28" spans="1:4" hidden="1" outlineLevel="1" x14ac:dyDescent="0.25">
      <c r="A28" s="6" t="s">
        <v>644</v>
      </c>
      <c r="B28" s="9" t="s">
        <v>645</v>
      </c>
      <c r="C28" s="9" t="s">
        <v>646</v>
      </c>
      <c r="D28" s="6" t="s">
        <v>55</v>
      </c>
    </row>
    <row r="29" spans="1:4" hidden="1" outlineLevel="1" x14ac:dyDescent="0.25">
      <c r="A29" s="6" t="s">
        <v>647</v>
      </c>
      <c r="B29" s="9" t="s">
        <v>648</v>
      </c>
      <c r="C29" s="9" t="s">
        <v>649</v>
      </c>
      <c r="D29" s="6" t="s">
        <v>650</v>
      </c>
    </row>
    <row r="30" spans="1:4" hidden="1" outlineLevel="1" x14ac:dyDescent="0.25">
      <c r="A30" s="6" t="s">
        <v>651</v>
      </c>
      <c r="B30" s="9" t="s">
        <v>652</v>
      </c>
      <c r="C30" s="9" t="s">
        <v>653</v>
      </c>
      <c r="D30" s="6" t="s">
        <v>650</v>
      </c>
    </row>
    <row r="31" spans="1:4" hidden="1" outlineLevel="1" x14ac:dyDescent="0.25">
      <c r="A31" s="6" t="s">
        <v>654</v>
      </c>
      <c r="B31" s="9" t="s">
        <v>655</v>
      </c>
      <c r="C31" s="9" t="s">
        <v>656</v>
      </c>
      <c r="D31" s="6" t="s">
        <v>640</v>
      </c>
    </row>
    <row r="32" spans="1:4" hidden="1" outlineLevel="1" x14ac:dyDescent="0.25">
      <c r="A32" s="6" t="s">
        <v>657</v>
      </c>
      <c r="B32" s="9" t="s">
        <v>658</v>
      </c>
      <c r="C32" s="9" t="s">
        <v>659</v>
      </c>
      <c r="D32" s="6" t="s">
        <v>640</v>
      </c>
    </row>
    <row r="33" spans="1:4" hidden="1" outlineLevel="1" x14ac:dyDescent="0.25">
      <c r="A33" s="6" t="s">
        <v>660</v>
      </c>
      <c r="B33" s="9" t="s">
        <v>661</v>
      </c>
      <c r="C33" s="9" t="s">
        <v>662</v>
      </c>
      <c r="D33" s="6" t="s">
        <v>663</v>
      </c>
    </row>
    <row r="34" spans="1:4" hidden="1" outlineLevel="1" x14ac:dyDescent="0.25">
      <c r="A34" s="6" t="s">
        <v>664</v>
      </c>
      <c r="B34" s="9" t="s">
        <v>665</v>
      </c>
      <c r="C34" s="9" t="s">
        <v>666</v>
      </c>
      <c r="D34" s="6" t="s">
        <v>55</v>
      </c>
    </row>
    <row r="35" spans="1:4" hidden="1" outlineLevel="1" x14ac:dyDescent="0.25">
      <c r="A35" s="6" t="s">
        <v>176</v>
      </c>
      <c r="B35" s="9" t="s">
        <v>667</v>
      </c>
      <c r="C35" s="9" t="s">
        <v>668</v>
      </c>
      <c r="D35" s="6" t="s">
        <v>669</v>
      </c>
    </row>
    <row r="36" spans="1:4" hidden="1" outlineLevel="1" x14ac:dyDescent="0.25">
      <c r="A36" s="6" t="s">
        <v>202</v>
      </c>
      <c r="B36" s="9" t="s">
        <v>670</v>
      </c>
      <c r="C36" s="9" t="s">
        <v>671</v>
      </c>
      <c r="D36" s="6" t="s">
        <v>672</v>
      </c>
    </row>
    <row r="37" spans="1:4" hidden="1" outlineLevel="1" x14ac:dyDescent="0.25">
      <c r="A37" s="6" t="s">
        <v>673</v>
      </c>
      <c r="B37" s="9" t="s">
        <v>674</v>
      </c>
      <c r="C37" s="9" t="s">
        <v>675</v>
      </c>
      <c r="D37" s="6" t="s">
        <v>55</v>
      </c>
    </row>
    <row r="38" spans="1:4" hidden="1" outlineLevel="1" x14ac:dyDescent="0.25">
      <c r="A38" s="6" t="s">
        <v>238</v>
      </c>
      <c r="B38" s="9" t="s">
        <v>676</v>
      </c>
      <c r="C38" s="9" t="s">
        <v>677</v>
      </c>
      <c r="D38" s="6" t="s">
        <v>678</v>
      </c>
    </row>
    <row r="39" spans="1:4" hidden="1" outlineLevel="1" x14ac:dyDescent="0.25">
      <c r="A39" s="6" t="s">
        <v>679</v>
      </c>
      <c r="B39" s="9" t="s">
        <v>680</v>
      </c>
      <c r="C39" s="9" t="s">
        <v>681</v>
      </c>
      <c r="D39" s="6" t="s">
        <v>55</v>
      </c>
    </row>
    <row r="40" spans="1:4" hidden="1" outlineLevel="1" x14ac:dyDescent="0.25">
      <c r="A40" s="6" t="s">
        <v>682</v>
      </c>
      <c r="B40" s="9" t="s">
        <v>683</v>
      </c>
      <c r="C40" s="9" t="s">
        <v>684</v>
      </c>
      <c r="D40" s="6" t="s">
        <v>55</v>
      </c>
    </row>
    <row r="41" spans="1:4" hidden="1" outlineLevel="1" x14ac:dyDescent="0.25">
      <c r="A41" s="6" t="s">
        <v>685</v>
      </c>
      <c r="B41" s="9" t="s">
        <v>686</v>
      </c>
      <c r="C41" s="9" t="s">
        <v>687</v>
      </c>
      <c r="D41" s="6" t="s">
        <v>688</v>
      </c>
    </row>
    <row r="42" spans="1:4" hidden="1" outlineLevel="1" x14ac:dyDescent="0.25">
      <c r="A42" s="6" t="s">
        <v>689</v>
      </c>
      <c r="B42" s="9" t="s">
        <v>690</v>
      </c>
      <c r="C42" s="9" t="s">
        <v>691</v>
      </c>
      <c r="D42" s="6" t="s">
        <v>688</v>
      </c>
    </row>
    <row r="43" spans="1:4" hidden="1" outlineLevel="1" x14ac:dyDescent="0.25">
      <c r="A43" s="6" t="s">
        <v>692</v>
      </c>
      <c r="B43" s="9" t="s">
        <v>693</v>
      </c>
      <c r="C43" s="9" t="s">
        <v>694</v>
      </c>
      <c r="D43" s="6" t="s">
        <v>688</v>
      </c>
    </row>
    <row r="44" spans="1:4" hidden="1" outlineLevel="1" x14ac:dyDescent="0.25">
      <c r="A44" s="6" t="s">
        <v>695</v>
      </c>
      <c r="B44" s="9" t="s">
        <v>696</v>
      </c>
      <c r="C44" s="9" t="s">
        <v>697</v>
      </c>
      <c r="D44" s="6" t="s">
        <v>688</v>
      </c>
    </row>
    <row r="45" spans="1:4" hidden="1" outlineLevel="1" x14ac:dyDescent="0.25">
      <c r="A45" s="6" t="s">
        <v>698</v>
      </c>
      <c r="B45" s="9" t="s">
        <v>699</v>
      </c>
      <c r="C45" s="9" t="s">
        <v>700</v>
      </c>
      <c r="D45" s="6" t="s">
        <v>55</v>
      </c>
    </row>
    <row r="46" spans="1:4" hidden="1" outlineLevel="1" x14ac:dyDescent="0.25">
      <c r="A46" s="6" t="s">
        <v>701</v>
      </c>
      <c r="B46" s="9" t="s">
        <v>702</v>
      </c>
      <c r="C46" s="9" t="s">
        <v>703</v>
      </c>
      <c r="D46" s="6" t="s">
        <v>55</v>
      </c>
    </row>
    <row r="47" spans="1:4" hidden="1" outlineLevel="1" x14ac:dyDescent="0.25">
      <c r="A47" s="6" t="s">
        <v>704</v>
      </c>
      <c r="B47" s="9" t="s">
        <v>705</v>
      </c>
      <c r="C47" s="9" t="s">
        <v>706</v>
      </c>
      <c r="D47" s="6" t="s">
        <v>55</v>
      </c>
    </row>
    <row r="48" spans="1:4" hidden="1" outlineLevel="1" x14ac:dyDescent="0.25">
      <c r="A48" s="6" t="s">
        <v>707</v>
      </c>
      <c r="B48" s="9" t="s">
        <v>708</v>
      </c>
      <c r="C48" s="9" t="s">
        <v>709</v>
      </c>
      <c r="D48" s="6" t="s">
        <v>710</v>
      </c>
    </row>
    <row r="49" spans="1:4" hidden="1" outlineLevel="1" x14ac:dyDescent="0.25">
      <c r="A49" s="6" t="s">
        <v>711</v>
      </c>
      <c r="B49" s="9" t="s">
        <v>712</v>
      </c>
      <c r="C49" s="9" t="s">
        <v>713</v>
      </c>
      <c r="D49" s="6" t="s">
        <v>714</v>
      </c>
    </row>
    <row r="50" spans="1:4" hidden="1" outlineLevel="1" x14ac:dyDescent="0.25">
      <c r="A50" s="6" t="s">
        <v>715</v>
      </c>
      <c r="B50" s="9" t="s">
        <v>716</v>
      </c>
      <c r="C50" s="9" t="s">
        <v>713</v>
      </c>
      <c r="D50" s="6" t="s">
        <v>55</v>
      </c>
    </row>
    <row r="51" spans="1:4" hidden="1" outlineLevel="1" x14ac:dyDescent="0.25">
      <c r="A51" s="6" t="s">
        <v>717</v>
      </c>
      <c r="B51" s="9" t="s">
        <v>718</v>
      </c>
      <c r="C51" s="9" t="s">
        <v>709</v>
      </c>
      <c r="D51" s="6" t="s">
        <v>710</v>
      </c>
    </row>
    <row r="52" spans="1:4" hidden="1" outlineLevel="1" x14ac:dyDescent="0.25">
      <c r="A52" s="6" t="s">
        <v>719</v>
      </c>
      <c r="B52" s="9" t="s">
        <v>720</v>
      </c>
      <c r="C52" s="9" t="s">
        <v>721</v>
      </c>
      <c r="D52" s="6" t="s">
        <v>722</v>
      </c>
    </row>
    <row r="53" spans="1:4" hidden="1" outlineLevel="1" x14ac:dyDescent="0.25">
      <c r="A53" s="6" t="s">
        <v>723</v>
      </c>
      <c r="B53" s="9" t="s">
        <v>724</v>
      </c>
      <c r="C53" s="9" t="s">
        <v>725</v>
      </c>
      <c r="D53" s="6" t="s">
        <v>722</v>
      </c>
    </row>
    <row r="54" spans="1:4" hidden="1" outlineLevel="1" x14ac:dyDescent="0.25">
      <c r="A54" s="6" t="s">
        <v>726</v>
      </c>
      <c r="B54" s="9" t="s">
        <v>727</v>
      </c>
      <c r="C54" s="9" t="s">
        <v>728</v>
      </c>
      <c r="D54" s="6" t="s">
        <v>714</v>
      </c>
    </row>
    <row r="55" spans="1:4" hidden="1" outlineLevel="1" x14ac:dyDescent="0.25">
      <c r="A55" s="6" t="s">
        <v>729</v>
      </c>
      <c r="B55" s="9" t="s">
        <v>730</v>
      </c>
      <c r="C55" s="9" t="s">
        <v>731</v>
      </c>
      <c r="D55" s="6" t="s">
        <v>55</v>
      </c>
    </row>
    <row r="56" spans="1:4" collapsed="1" x14ac:dyDescent="0.25">
      <c r="A56" s="207" t="s">
        <v>732</v>
      </c>
      <c r="B56" s="207"/>
      <c r="C56" s="207"/>
      <c r="D56" s="207"/>
    </row>
    <row r="57" spans="1:4" hidden="1" outlineLevel="1" x14ac:dyDescent="0.25">
      <c r="A57" s="6" t="s">
        <v>733</v>
      </c>
      <c r="B57" s="9" t="s">
        <v>734</v>
      </c>
      <c r="C57" s="9" t="s">
        <v>735</v>
      </c>
      <c r="D57" s="6" t="s">
        <v>55</v>
      </c>
    </row>
    <row r="58" spans="1:4" hidden="1" outlineLevel="1" x14ac:dyDescent="0.25">
      <c r="A58" s="6" t="s">
        <v>736</v>
      </c>
      <c r="B58" s="9" t="s">
        <v>683</v>
      </c>
      <c r="C58" s="9" t="s">
        <v>684</v>
      </c>
      <c r="D58" s="6" t="s">
        <v>55</v>
      </c>
    </row>
    <row r="59" spans="1:4" hidden="1" outlineLevel="1" x14ac:dyDescent="0.25">
      <c r="A59" s="6" t="s">
        <v>737</v>
      </c>
      <c r="B59" s="9" t="s">
        <v>738</v>
      </c>
      <c r="C59" s="9" t="s">
        <v>739</v>
      </c>
      <c r="D59" s="6" t="s">
        <v>55</v>
      </c>
    </row>
    <row r="60" spans="1:4" hidden="1" outlineLevel="1" x14ac:dyDescent="0.25">
      <c r="A60" s="6" t="s">
        <v>740</v>
      </c>
      <c r="B60" s="9" t="s">
        <v>741</v>
      </c>
      <c r="C60" s="9" t="s">
        <v>742</v>
      </c>
      <c r="D60" s="6" t="s">
        <v>55</v>
      </c>
    </row>
    <row r="61" spans="1:4" hidden="1" outlineLevel="1" x14ac:dyDescent="0.25">
      <c r="A61" s="6" t="s">
        <v>743</v>
      </c>
      <c r="B61" s="9" t="s">
        <v>744</v>
      </c>
      <c r="C61" s="9" t="s">
        <v>745</v>
      </c>
      <c r="D61" s="6" t="s">
        <v>55</v>
      </c>
    </row>
    <row r="62" spans="1:4" hidden="1" outlineLevel="1" x14ac:dyDescent="0.25">
      <c r="A62" s="6" t="s">
        <v>746</v>
      </c>
      <c r="B62" s="9" t="s">
        <v>747</v>
      </c>
      <c r="C62" s="9" t="s">
        <v>748</v>
      </c>
      <c r="D62" s="6" t="s">
        <v>55</v>
      </c>
    </row>
    <row r="63" spans="1:4" hidden="1" outlineLevel="1" x14ac:dyDescent="0.25">
      <c r="A63" s="6" t="s">
        <v>749</v>
      </c>
      <c r="B63" s="9" t="s">
        <v>750</v>
      </c>
      <c r="C63" s="9" t="s">
        <v>751</v>
      </c>
      <c r="D63" s="6" t="s">
        <v>55</v>
      </c>
    </row>
    <row r="64" spans="1:4" collapsed="1" x14ac:dyDescent="0.25">
      <c r="A64" s="207" t="s">
        <v>752</v>
      </c>
      <c r="B64" s="207"/>
      <c r="C64" s="207"/>
      <c r="D64" s="207"/>
    </row>
    <row r="65" spans="1:4" hidden="1" outlineLevel="1" x14ac:dyDescent="0.25">
      <c r="A65" s="6" t="s">
        <v>753</v>
      </c>
      <c r="B65" s="9" t="s">
        <v>683</v>
      </c>
      <c r="C65" s="9" t="s">
        <v>684</v>
      </c>
      <c r="D65" s="6" t="s">
        <v>55</v>
      </c>
    </row>
    <row r="66" spans="1:4" hidden="1" outlineLevel="1" x14ac:dyDescent="0.25">
      <c r="A66" s="6" t="s">
        <v>754</v>
      </c>
      <c r="B66" s="9" t="s">
        <v>750</v>
      </c>
      <c r="C66" s="9" t="s">
        <v>755</v>
      </c>
      <c r="D66" s="6" t="s">
        <v>55</v>
      </c>
    </row>
    <row r="67" spans="1:4" collapsed="1" x14ac:dyDescent="0.25">
      <c r="A67" s="203" t="s">
        <v>756</v>
      </c>
      <c r="B67" s="203"/>
      <c r="C67" s="203"/>
      <c r="D67" s="203"/>
    </row>
    <row r="68" spans="1:4" hidden="1" outlineLevel="1" x14ac:dyDescent="0.25">
      <c r="A68" s="6" t="s">
        <v>4</v>
      </c>
      <c r="B68" s="9" t="s">
        <v>757</v>
      </c>
      <c r="C68" s="9" t="s">
        <v>758</v>
      </c>
      <c r="D68" s="6" t="s">
        <v>722</v>
      </c>
    </row>
    <row r="69" spans="1:4" hidden="1" outlineLevel="1" x14ac:dyDescent="0.25">
      <c r="A69" s="6" t="s">
        <v>5</v>
      </c>
      <c r="B69" s="9" t="s">
        <v>757</v>
      </c>
      <c r="C69" s="9" t="s">
        <v>758</v>
      </c>
      <c r="D69" s="6" t="s">
        <v>722</v>
      </c>
    </row>
    <row r="70" spans="1:4" hidden="1" outlineLevel="1" x14ac:dyDescent="0.25">
      <c r="A70" s="6" t="s">
        <v>6</v>
      </c>
      <c r="B70" s="9" t="s">
        <v>759</v>
      </c>
      <c r="C70" s="9" t="s">
        <v>760</v>
      </c>
      <c r="D70" s="6" t="s">
        <v>722</v>
      </c>
    </row>
    <row r="71" spans="1:4" hidden="1" outlineLevel="1" x14ac:dyDescent="0.25">
      <c r="A71" s="6" t="s">
        <v>7</v>
      </c>
      <c r="B71" s="9" t="s">
        <v>761</v>
      </c>
      <c r="C71" s="9" t="s">
        <v>762</v>
      </c>
      <c r="D71" s="6" t="s">
        <v>722</v>
      </c>
    </row>
    <row r="72" spans="1:4" hidden="1" outlineLevel="1" x14ac:dyDescent="0.25">
      <c r="A72" s="6" t="s">
        <v>8</v>
      </c>
      <c r="B72" s="9" t="s">
        <v>763</v>
      </c>
      <c r="C72" s="9" t="s">
        <v>764</v>
      </c>
      <c r="D72" s="6" t="s">
        <v>722</v>
      </c>
    </row>
    <row r="73" spans="1:4" hidden="1" outlineLevel="1" x14ac:dyDescent="0.25">
      <c r="A73" s="6" t="s">
        <v>9</v>
      </c>
      <c r="B73" s="9" t="s">
        <v>765</v>
      </c>
      <c r="C73" s="9" t="s">
        <v>766</v>
      </c>
      <c r="D73" s="6" t="s">
        <v>722</v>
      </c>
    </row>
    <row r="74" spans="1:4" hidden="1" outlineLevel="1" x14ac:dyDescent="0.25">
      <c r="A74" s="6" t="s">
        <v>10</v>
      </c>
      <c r="B74" s="9" t="s">
        <v>767</v>
      </c>
      <c r="C74" s="9" t="s">
        <v>768</v>
      </c>
      <c r="D74" s="6" t="s">
        <v>722</v>
      </c>
    </row>
    <row r="75" spans="1:4" hidden="1" outlineLevel="1" x14ac:dyDescent="0.25">
      <c r="A75" s="6" t="s">
        <v>11</v>
      </c>
      <c r="B75" s="9" t="s">
        <v>769</v>
      </c>
      <c r="C75" s="9" t="s">
        <v>770</v>
      </c>
      <c r="D75" s="6" t="s">
        <v>722</v>
      </c>
    </row>
    <row r="76" spans="1:4" collapsed="1" x14ac:dyDescent="0.25">
      <c r="A76" s="203" t="s">
        <v>771</v>
      </c>
      <c r="B76" s="203"/>
      <c r="C76" s="203"/>
      <c r="D76" s="203"/>
    </row>
    <row r="77" spans="1:4" x14ac:dyDescent="0.25">
      <c r="A77" s="207" t="s">
        <v>772</v>
      </c>
      <c r="B77" s="207"/>
      <c r="C77" s="207"/>
      <c r="D77" s="207"/>
    </row>
    <row r="78" spans="1:4" ht="45" hidden="1" outlineLevel="1" x14ac:dyDescent="0.25">
      <c r="A78" s="6" t="s">
        <v>773</v>
      </c>
      <c r="B78" s="9" t="s">
        <v>774</v>
      </c>
      <c r="C78" s="9" t="s">
        <v>775</v>
      </c>
      <c r="D78" s="6" t="s">
        <v>776</v>
      </c>
    </row>
    <row r="79" spans="1:4" ht="75" hidden="1" outlineLevel="1" x14ac:dyDescent="0.25">
      <c r="A79" s="6" t="s">
        <v>777</v>
      </c>
      <c r="B79" s="9" t="s">
        <v>778</v>
      </c>
      <c r="C79" s="9" t="s">
        <v>779</v>
      </c>
      <c r="D79" s="6" t="s">
        <v>780</v>
      </c>
    </row>
    <row r="80" spans="1:4" ht="45" hidden="1" outlineLevel="1" x14ac:dyDescent="0.25">
      <c r="A80" s="6" t="s">
        <v>781</v>
      </c>
      <c r="B80" s="9" t="s">
        <v>782</v>
      </c>
      <c r="C80" s="9" t="s">
        <v>783</v>
      </c>
      <c r="D80" s="6" t="s">
        <v>780</v>
      </c>
    </row>
    <row r="81" spans="1:4" collapsed="1" x14ac:dyDescent="0.25">
      <c r="A81" s="207" t="s">
        <v>784</v>
      </c>
      <c r="B81" s="207"/>
      <c r="C81" s="207"/>
      <c r="D81" s="207"/>
    </row>
    <row r="82" spans="1:4" ht="30" hidden="1" outlineLevel="1" x14ac:dyDescent="0.25">
      <c r="A82" s="6" t="s">
        <v>785</v>
      </c>
      <c r="B82" s="9" t="s">
        <v>786</v>
      </c>
      <c r="C82" s="9" t="s">
        <v>787</v>
      </c>
      <c r="D82" s="6" t="s">
        <v>688</v>
      </c>
    </row>
    <row r="83" spans="1:4" hidden="1" outlineLevel="1" x14ac:dyDescent="0.25">
      <c r="A83" s="6" t="s">
        <v>221</v>
      </c>
      <c r="B83" s="9" t="s">
        <v>788</v>
      </c>
      <c r="C83" s="9" t="s">
        <v>789</v>
      </c>
      <c r="D83" s="6" t="s">
        <v>790</v>
      </c>
    </row>
    <row r="84" spans="1:4" collapsed="1" x14ac:dyDescent="0.25">
      <c r="A84" s="203" t="s">
        <v>791</v>
      </c>
      <c r="B84" s="203"/>
      <c r="C84" s="203"/>
      <c r="D84" s="203"/>
    </row>
    <row r="85" spans="1:4" x14ac:dyDescent="0.25">
      <c r="A85" s="207" t="s">
        <v>792</v>
      </c>
      <c r="B85" s="207"/>
      <c r="C85" s="207"/>
      <c r="D85" s="207"/>
    </row>
    <row r="86" spans="1:4" hidden="1" outlineLevel="1" x14ac:dyDescent="0.25">
      <c r="A86" s="6" t="s">
        <v>793</v>
      </c>
      <c r="B86" s="9" t="s">
        <v>794</v>
      </c>
      <c r="C86" s="9" t="s">
        <v>795</v>
      </c>
      <c r="D86" s="6" t="s">
        <v>796</v>
      </c>
    </row>
    <row r="87" spans="1:4" hidden="1" outlineLevel="1" x14ac:dyDescent="0.25">
      <c r="A87" s="6" t="s">
        <v>797</v>
      </c>
      <c r="B87" s="9" t="s">
        <v>798</v>
      </c>
      <c r="C87" s="9" t="s">
        <v>799</v>
      </c>
      <c r="D87" s="6" t="s">
        <v>796</v>
      </c>
    </row>
    <row r="88" spans="1:4" ht="30" hidden="1" outlineLevel="1" x14ac:dyDescent="0.25">
      <c r="A88" s="6" t="s">
        <v>800</v>
      </c>
      <c r="B88" s="9" t="s">
        <v>801</v>
      </c>
      <c r="C88" s="9" t="s">
        <v>802</v>
      </c>
      <c r="D88" s="6" t="s">
        <v>796</v>
      </c>
    </row>
    <row r="89" spans="1:4" hidden="1" outlineLevel="1" x14ac:dyDescent="0.25">
      <c r="A89" s="6" t="s">
        <v>803</v>
      </c>
      <c r="B89" s="9" t="s">
        <v>804</v>
      </c>
      <c r="C89" s="9" t="s">
        <v>805</v>
      </c>
      <c r="D89" s="6" t="s">
        <v>796</v>
      </c>
    </row>
    <row r="90" spans="1:4" hidden="1" outlineLevel="1" x14ac:dyDescent="0.25">
      <c r="A90" s="6" t="s">
        <v>806</v>
      </c>
      <c r="B90" s="9" t="s">
        <v>807</v>
      </c>
      <c r="C90" s="9" t="s">
        <v>808</v>
      </c>
      <c r="D90" s="6" t="s">
        <v>796</v>
      </c>
    </row>
    <row r="91" spans="1:4" hidden="1" outlineLevel="1" x14ac:dyDescent="0.25">
      <c r="A91" s="6" t="s">
        <v>809</v>
      </c>
      <c r="B91" s="9" t="s">
        <v>810</v>
      </c>
      <c r="C91" s="9" t="s">
        <v>811</v>
      </c>
      <c r="D91" s="6" t="s">
        <v>796</v>
      </c>
    </row>
    <row r="92" spans="1:4" hidden="1" outlineLevel="1" x14ac:dyDescent="0.25">
      <c r="A92" s="6" t="s">
        <v>812</v>
      </c>
      <c r="B92" s="9" t="s">
        <v>813</v>
      </c>
      <c r="C92" s="9" t="s">
        <v>814</v>
      </c>
      <c r="D92" s="6" t="s">
        <v>796</v>
      </c>
    </row>
    <row r="93" spans="1:4" hidden="1" outlineLevel="1" x14ac:dyDescent="0.25">
      <c r="A93" s="6" t="s">
        <v>815</v>
      </c>
      <c r="B93" s="9" t="s">
        <v>816</v>
      </c>
      <c r="C93" s="9" t="s">
        <v>817</v>
      </c>
      <c r="D93" s="6" t="s">
        <v>796</v>
      </c>
    </row>
    <row r="94" spans="1:4" ht="30" hidden="1" outlineLevel="1" x14ac:dyDescent="0.25">
      <c r="A94" s="6" t="s">
        <v>818</v>
      </c>
      <c r="B94" s="9" t="s">
        <v>819</v>
      </c>
      <c r="C94" s="9" t="s">
        <v>820</v>
      </c>
      <c r="D94" s="6" t="s">
        <v>796</v>
      </c>
    </row>
    <row r="95" spans="1:4" hidden="1" outlineLevel="1" x14ac:dyDescent="0.25">
      <c r="A95" s="6" t="s">
        <v>821</v>
      </c>
      <c r="B95" s="9" t="s">
        <v>822</v>
      </c>
      <c r="C95" s="9" t="s">
        <v>823</v>
      </c>
      <c r="D95" s="6" t="s">
        <v>796</v>
      </c>
    </row>
    <row r="96" spans="1:4" collapsed="1" x14ac:dyDescent="0.25">
      <c r="A96" s="207" t="s">
        <v>824</v>
      </c>
      <c r="B96" s="207"/>
      <c r="C96" s="207"/>
      <c r="D96" s="207"/>
    </row>
    <row r="97" spans="1:4" hidden="1" outlineLevel="1" x14ac:dyDescent="0.25">
      <c r="A97" s="6" t="s">
        <v>825</v>
      </c>
      <c r="B97" s="9" t="s">
        <v>638</v>
      </c>
      <c r="C97" s="9" t="s">
        <v>826</v>
      </c>
      <c r="D97" s="6" t="s">
        <v>827</v>
      </c>
    </row>
    <row r="98" spans="1:4" hidden="1" outlineLevel="1" x14ac:dyDescent="0.25">
      <c r="A98" s="6" t="s">
        <v>192</v>
      </c>
      <c r="B98" s="9" t="s">
        <v>655</v>
      </c>
      <c r="C98" s="9" t="s">
        <v>828</v>
      </c>
      <c r="D98" s="6" t="s">
        <v>829</v>
      </c>
    </row>
    <row r="99" spans="1:4" hidden="1" outlineLevel="1" x14ac:dyDescent="0.25">
      <c r="A99" s="6" t="s">
        <v>830</v>
      </c>
      <c r="B99" s="9" t="s">
        <v>716</v>
      </c>
      <c r="C99" s="9" t="s">
        <v>831</v>
      </c>
      <c r="D99" s="6" t="s">
        <v>832</v>
      </c>
    </row>
    <row r="100" spans="1:4" hidden="1" outlineLevel="1" x14ac:dyDescent="0.25">
      <c r="A100" s="6" t="s">
        <v>186</v>
      </c>
      <c r="B100" s="9" t="s">
        <v>833</v>
      </c>
      <c r="C100" s="9" t="s">
        <v>834</v>
      </c>
      <c r="D100" s="6" t="s">
        <v>835</v>
      </c>
    </row>
    <row r="101" spans="1:4" hidden="1" outlineLevel="1" x14ac:dyDescent="0.25">
      <c r="A101" s="6" t="s">
        <v>836</v>
      </c>
      <c r="B101" s="9" t="s">
        <v>837</v>
      </c>
      <c r="C101" s="9" t="s">
        <v>838</v>
      </c>
      <c r="D101" s="6" t="s">
        <v>55</v>
      </c>
    </row>
    <row r="102" spans="1:4" hidden="1" outlineLevel="1" x14ac:dyDescent="0.25">
      <c r="A102" s="6" t="s">
        <v>839</v>
      </c>
      <c r="B102" s="9" t="s">
        <v>840</v>
      </c>
      <c r="C102" s="9" t="s">
        <v>841</v>
      </c>
      <c r="D102" s="6" t="s">
        <v>55</v>
      </c>
    </row>
    <row r="103" spans="1:4" hidden="1" outlineLevel="1" x14ac:dyDescent="0.25">
      <c r="A103" s="6" t="s">
        <v>842</v>
      </c>
      <c r="B103" s="9" t="s">
        <v>843</v>
      </c>
      <c r="C103" s="9" t="s">
        <v>844</v>
      </c>
      <c r="D103" s="6" t="s">
        <v>55</v>
      </c>
    </row>
    <row r="104" spans="1:4" ht="45" hidden="1" outlineLevel="1" x14ac:dyDescent="0.25">
      <c r="A104" s="6" t="s">
        <v>845</v>
      </c>
      <c r="B104" s="9" t="s">
        <v>846</v>
      </c>
      <c r="C104" s="9" t="s">
        <v>847</v>
      </c>
      <c r="D104" s="6" t="s">
        <v>55</v>
      </c>
    </row>
    <row r="105" spans="1:4" hidden="1" outlineLevel="1" x14ac:dyDescent="0.25">
      <c r="A105" s="6" t="s">
        <v>848</v>
      </c>
      <c r="B105" s="9" t="s">
        <v>712</v>
      </c>
      <c r="C105" s="9" t="s">
        <v>849</v>
      </c>
      <c r="D105" s="6" t="s">
        <v>850</v>
      </c>
    </row>
    <row r="106" spans="1:4" hidden="1" outlineLevel="1" x14ac:dyDescent="0.25">
      <c r="A106" s="6" t="s">
        <v>851</v>
      </c>
      <c r="B106" s="9" t="s">
        <v>852</v>
      </c>
      <c r="C106" s="9" t="s">
        <v>853</v>
      </c>
      <c r="D106" s="6" t="s">
        <v>854</v>
      </c>
    </row>
    <row r="107" spans="1:4" hidden="1" outlineLevel="1" x14ac:dyDescent="0.25">
      <c r="A107" s="6" t="s">
        <v>855</v>
      </c>
      <c r="B107" s="9" t="s">
        <v>856</v>
      </c>
      <c r="C107" s="9" t="s">
        <v>857</v>
      </c>
      <c r="D107" s="6" t="s">
        <v>854</v>
      </c>
    </row>
    <row r="108" spans="1:4" hidden="1" outlineLevel="1" x14ac:dyDescent="0.25">
      <c r="A108" s="6" t="s">
        <v>858</v>
      </c>
      <c r="B108" s="9" t="s">
        <v>859</v>
      </c>
      <c r="C108" s="9" t="s">
        <v>860</v>
      </c>
      <c r="D108" s="6" t="s">
        <v>850</v>
      </c>
    </row>
    <row r="109" spans="1:4" hidden="1" outlineLevel="1" x14ac:dyDescent="0.25">
      <c r="A109" s="6" t="s">
        <v>474</v>
      </c>
      <c r="B109" s="9" t="s">
        <v>861</v>
      </c>
      <c r="C109" s="9" t="s">
        <v>862</v>
      </c>
      <c r="D109" s="6" t="s">
        <v>863</v>
      </c>
    </row>
    <row r="110" spans="1:4" hidden="1" outlineLevel="1" x14ac:dyDescent="0.25">
      <c r="A110" s="6" t="s">
        <v>864</v>
      </c>
      <c r="B110" s="9" t="s">
        <v>865</v>
      </c>
      <c r="C110" s="9" t="s">
        <v>866</v>
      </c>
      <c r="D110" s="6" t="s">
        <v>493</v>
      </c>
    </row>
    <row r="111" spans="1:4" ht="30" hidden="1" outlineLevel="1" x14ac:dyDescent="0.25">
      <c r="A111" s="6" t="s">
        <v>867</v>
      </c>
      <c r="B111" s="9" t="s">
        <v>868</v>
      </c>
      <c r="C111" s="9" t="s">
        <v>869</v>
      </c>
      <c r="D111" s="6" t="s">
        <v>55</v>
      </c>
    </row>
    <row r="112" spans="1:4" collapsed="1" x14ac:dyDescent="0.25">
      <c r="A112" s="207" t="s">
        <v>870</v>
      </c>
      <c r="B112" s="207"/>
      <c r="C112" s="207"/>
      <c r="D112" s="207"/>
    </row>
    <row r="113" spans="1:4" hidden="1" outlineLevel="1" x14ac:dyDescent="0.25">
      <c r="A113" s="6" t="s">
        <v>871</v>
      </c>
      <c r="B113" s="9" t="s">
        <v>872</v>
      </c>
      <c r="C113" s="9" t="s">
        <v>873</v>
      </c>
      <c r="D113" s="6" t="s">
        <v>55</v>
      </c>
    </row>
    <row r="114" spans="1:4" collapsed="1" x14ac:dyDescent="0.25">
      <c r="A114" s="203" t="s">
        <v>874</v>
      </c>
      <c r="B114" s="203"/>
      <c r="C114" s="203"/>
      <c r="D114" s="203"/>
    </row>
    <row r="115" spans="1:4" x14ac:dyDescent="0.25">
      <c r="A115" s="207" t="s">
        <v>875</v>
      </c>
      <c r="B115" s="207"/>
      <c r="C115" s="207"/>
      <c r="D115" s="207"/>
    </row>
    <row r="116" spans="1:4" hidden="1" outlineLevel="1" x14ac:dyDescent="0.25">
      <c r="A116" s="6" t="s">
        <v>195</v>
      </c>
      <c r="B116" s="9" t="s">
        <v>876</v>
      </c>
      <c r="C116" s="9" t="s">
        <v>877</v>
      </c>
      <c r="D116" s="6" t="s">
        <v>878</v>
      </c>
    </row>
    <row r="117" spans="1:4" ht="30" hidden="1" outlineLevel="1" x14ac:dyDescent="0.25">
      <c r="A117" s="6" t="s">
        <v>879</v>
      </c>
      <c r="B117" s="9" t="s">
        <v>880</v>
      </c>
      <c r="C117" s="9" t="s">
        <v>881</v>
      </c>
      <c r="D117" s="6" t="s">
        <v>882</v>
      </c>
    </row>
    <row r="118" spans="1:4" ht="60" hidden="1" outlineLevel="1" x14ac:dyDescent="0.25">
      <c r="A118" s="6" t="s">
        <v>883</v>
      </c>
      <c r="B118" s="9" t="s">
        <v>884</v>
      </c>
      <c r="C118" s="9" t="s">
        <v>885</v>
      </c>
      <c r="D118" s="6" t="s">
        <v>886</v>
      </c>
    </row>
    <row r="119" spans="1:4" ht="60" hidden="1" outlineLevel="1" x14ac:dyDescent="0.25">
      <c r="A119" s="6" t="s">
        <v>887</v>
      </c>
      <c r="B119" s="9" t="s">
        <v>888</v>
      </c>
      <c r="C119" s="9" t="s">
        <v>889</v>
      </c>
      <c r="D119" s="6" t="s">
        <v>886</v>
      </c>
    </row>
    <row r="120" spans="1:4" hidden="1" outlineLevel="1" x14ac:dyDescent="0.25">
      <c r="A120" s="6" t="s">
        <v>890</v>
      </c>
      <c r="B120" s="9" t="s">
        <v>891</v>
      </c>
      <c r="C120" s="9" t="s">
        <v>892</v>
      </c>
      <c r="D120" s="6" t="s">
        <v>886</v>
      </c>
    </row>
    <row r="121" spans="1:4" ht="30" hidden="1" outlineLevel="1" x14ac:dyDescent="0.25">
      <c r="A121" s="6" t="s">
        <v>893</v>
      </c>
      <c r="B121" s="9" t="s">
        <v>894</v>
      </c>
      <c r="C121" s="9" t="s">
        <v>895</v>
      </c>
      <c r="D121" s="6" t="s">
        <v>886</v>
      </c>
    </row>
    <row r="122" spans="1:4" ht="30" hidden="1" outlineLevel="1" x14ac:dyDescent="0.25">
      <c r="A122" s="6" t="s">
        <v>896</v>
      </c>
      <c r="B122" s="9" t="s">
        <v>897</v>
      </c>
      <c r="C122" s="9" t="s">
        <v>898</v>
      </c>
      <c r="D122" s="6" t="s">
        <v>886</v>
      </c>
    </row>
    <row r="123" spans="1:4" ht="30" hidden="1" outlineLevel="1" x14ac:dyDescent="0.25">
      <c r="A123" s="6" t="s">
        <v>899</v>
      </c>
      <c r="B123" s="9" t="s">
        <v>900</v>
      </c>
      <c r="C123" s="9" t="s">
        <v>901</v>
      </c>
      <c r="D123" s="6" t="s">
        <v>886</v>
      </c>
    </row>
    <row r="124" spans="1:4" ht="45" hidden="1" outlineLevel="1" x14ac:dyDescent="0.25">
      <c r="A124" s="6" t="s">
        <v>902</v>
      </c>
      <c r="B124" s="9" t="s">
        <v>903</v>
      </c>
      <c r="C124" s="9" t="s">
        <v>904</v>
      </c>
      <c r="D124" s="6" t="s">
        <v>886</v>
      </c>
    </row>
    <row r="125" spans="1:4" ht="90" hidden="1" outlineLevel="1" x14ac:dyDescent="0.25">
      <c r="A125" s="6" t="s">
        <v>905</v>
      </c>
      <c r="B125" s="9" t="s">
        <v>906</v>
      </c>
      <c r="C125" s="9" t="s">
        <v>907</v>
      </c>
      <c r="D125" s="6" t="s">
        <v>886</v>
      </c>
    </row>
    <row r="126" spans="1:4" ht="45" hidden="1" outlineLevel="1" x14ac:dyDescent="0.25">
      <c r="A126" s="6" t="s">
        <v>908</v>
      </c>
      <c r="B126" s="9" t="s">
        <v>909</v>
      </c>
      <c r="C126" s="9" t="s">
        <v>910</v>
      </c>
      <c r="D126" s="6" t="s">
        <v>886</v>
      </c>
    </row>
    <row r="127" spans="1:4" ht="45" hidden="1" outlineLevel="1" x14ac:dyDescent="0.25">
      <c r="A127" s="6" t="s">
        <v>911</v>
      </c>
      <c r="B127" s="9" t="s">
        <v>912</v>
      </c>
      <c r="C127" s="9" t="s">
        <v>913</v>
      </c>
      <c r="D127" s="6" t="s">
        <v>886</v>
      </c>
    </row>
    <row r="128" spans="1:4" ht="30" hidden="1" outlineLevel="1" x14ac:dyDescent="0.25">
      <c r="A128" s="6" t="s">
        <v>914</v>
      </c>
      <c r="B128" s="9" t="s">
        <v>915</v>
      </c>
      <c r="C128" s="9" t="s">
        <v>916</v>
      </c>
      <c r="D128" s="6" t="s">
        <v>886</v>
      </c>
    </row>
    <row r="129" spans="1:4" collapsed="1" x14ac:dyDescent="0.25">
      <c r="A129" s="207" t="s">
        <v>917</v>
      </c>
      <c r="B129" s="207"/>
      <c r="C129" s="207"/>
      <c r="D129" s="207"/>
    </row>
    <row r="130" spans="1:4" ht="30" hidden="1" outlineLevel="1" x14ac:dyDescent="0.25">
      <c r="A130" s="6" t="s">
        <v>234</v>
      </c>
      <c r="B130" s="9" t="s">
        <v>918</v>
      </c>
      <c r="C130" s="9" t="s">
        <v>919</v>
      </c>
      <c r="D130" s="6" t="s">
        <v>920</v>
      </c>
    </row>
    <row r="131" spans="1:4" hidden="1" outlineLevel="1" x14ac:dyDescent="0.25">
      <c r="A131" s="6" t="s">
        <v>430</v>
      </c>
      <c r="B131" s="9" t="s">
        <v>921</v>
      </c>
      <c r="C131" s="9" t="s">
        <v>922</v>
      </c>
      <c r="D131" s="6" t="s">
        <v>923</v>
      </c>
    </row>
    <row r="132" spans="1:4" hidden="1" outlineLevel="1" x14ac:dyDescent="0.25">
      <c r="A132" s="6" t="s">
        <v>924</v>
      </c>
      <c r="B132" s="9" t="s">
        <v>925</v>
      </c>
      <c r="C132" s="9" t="s">
        <v>926</v>
      </c>
      <c r="D132" s="6" t="s">
        <v>459</v>
      </c>
    </row>
    <row r="133" spans="1:4" hidden="1" outlineLevel="1" x14ac:dyDescent="0.25">
      <c r="A133" s="6" t="s">
        <v>465</v>
      </c>
      <c r="B133" s="9" t="s">
        <v>927</v>
      </c>
      <c r="C133" s="9" t="s">
        <v>928</v>
      </c>
      <c r="D133" s="6" t="s">
        <v>463</v>
      </c>
    </row>
    <row r="134" spans="1:4" hidden="1" outlineLevel="1" x14ac:dyDescent="0.25">
      <c r="A134" s="6" t="s">
        <v>929</v>
      </c>
      <c r="B134" s="9" t="s">
        <v>930</v>
      </c>
      <c r="C134" s="9" t="s">
        <v>931</v>
      </c>
      <c r="D134" s="6" t="s">
        <v>432</v>
      </c>
    </row>
    <row r="135" spans="1:4" ht="60" hidden="1" outlineLevel="1" x14ac:dyDescent="0.25">
      <c r="A135" s="6" t="s">
        <v>932</v>
      </c>
      <c r="B135" s="9" t="s">
        <v>933</v>
      </c>
      <c r="C135" s="9" t="s">
        <v>934</v>
      </c>
      <c r="D135" s="6" t="s">
        <v>438</v>
      </c>
    </row>
    <row r="136" spans="1:4" hidden="1" outlineLevel="1" x14ac:dyDescent="0.25">
      <c r="A136" s="6" t="s">
        <v>480</v>
      </c>
      <c r="B136" s="9" t="s">
        <v>935</v>
      </c>
      <c r="C136" s="9" t="s">
        <v>936</v>
      </c>
      <c r="D136" s="6" t="s">
        <v>478</v>
      </c>
    </row>
    <row r="137" spans="1:4" hidden="1" outlineLevel="1" x14ac:dyDescent="0.25">
      <c r="A137" s="6" t="s">
        <v>937</v>
      </c>
      <c r="B137" s="9" t="s">
        <v>938</v>
      </c>
      <c r="C137" s="9" t="s">
        <v>939</v>
      </c>
      <c r="D137" s="6" t="s">
        <v>486</v>
      </c>
    </row>
    <row r="138" spans="1:4" hidden="1" outlineLevel="1" x14ac:dyDescent="0.25">
      <c r="A138" s="6" t="s">
        <v>940</v>
      </c>
      <c r="B138" s="9" t="s">
        <v>941</v>
      </c>
      <c r="C138" s="9" t="s">
        <v>942</v>
      </c>
      <c r="D138" s="6" t="s">
        <v>943</v>
      </c>
    </row>
    <row r="139" spans="1:4" hidden="1" outlineLevel="1" x14ac:dyDescent="0.25">
      <c r="A139" s="6" t="s">
        <v>944</v>
      </c>
      <c r="B139" s="9" t="s">
        <v>945</v>
      </c>
      <c r="C139" s="9" t="s">
        <v>946</v>
      </c>
      <c r="D139" s="6" t="s">
        <v>943</v>
      </c>
    </row>
    <row r="140" spans="1:4" hidden="1" outlineLevel="1" x14ac:dyDescent="0.25">
      <c r="A140" s="6" t="s">
        <v>947</v>
      </c>
      <c r="B140" s="9" t="s">
        <v>948</v>
      </c>
      <c r="C140" s="9" t="s">
        <v>949</v>
      </c>
      <c r="D140" s="6" t="s">
        <v>459</v>
      </c>
    </row>
    <row r="141" spans="1:4" hidden="1" outlineLevel="1" x14ac:dyDescent="0.25">
      <c r="A141" s="6" t="s">
        <v>449</v>
      </c>
      <c r="B141" s="9" t="s">
        <v>950</v>
      </c>
      <c r="C141" s="9" t="s">
        <v>951</v>
      </c>
      <c r="D141" s="6" t="s">
        <v>952</v>
      </c>
    </row>
    <row r="142" spans="1:4" hidden="1" outlineLevel="1" x14ac:dyDescent="0.25">
      <c r="A142" s="6" t="s">
        <v>953</v>
      </c>
      <c r="B142" s="9" t="s">
        <v>954</v>
      </c>
      <c r="C142" s="9" t="s">
        <v>955</v>
      </c>
      <c r="D142" s="6" t="s">
        <v>432</v>
      </c>
    </row>
    <row r="143" spans="1:4" collapsed="1" x14ac:dyDescent="0.25">
      <c r="A143" s="207" t="s">
        <v>956</v>
      </c>
      <c r="B143" s="207"/>
      <c r="C143" s="207"/>
      <c r="D143" s="207"/>
    </row>
    <row r="144" spans="1:4" ht="30" hidden="1" outlineLevel="1" x14ac:dyDescent="0.25">
      <c r="A144" s="6" t="s">
        <v>957</v>
      </c>
      <c r="B144" s="9" t="s">
        <v>958</v>
      </c>
      <c r="C144" s="9" t="s">
        <v>959</v>
      </c>
      <c r="D144" s="6" t="s">
        <v>506</v>
      </c>
    </row>
    <row r="145" spans="1:4" ht="30" hidden="1" outlineLevel="1" x14ac:dyDescent="0.25">
      <c r="A145" s="6" t="s">
        <v>512</v>
      </c>
      <c r="B145" s="9" t="s">
        <v>960</v>
      </c>
      <c r="C145" s="9" t="s">
        <v>961</v>
      </c>
      <c r="D145" s="6" t="s">
        <v>962</v>
      </c>
    </row>
    <row r="146" spans="1:4" collapsed="1" x14ac:dyDescent="0.25">
      <c r="A146" s="207" t="s">
        <v>963</v>
      </c>
      <c r="B146" s="207"/>
      <c r="C146" s="207"/>
      <c r="D146" s="207"/>
    </row>
    <row r="147" spans="1:4" hidden="1" outlineLevel="1" x14ac:dyDescent="0.25">
      <c r="A147" s="6" t="s">
        <v>964</v>
      </c>
      <c r="B147" s="9" t="s">
        <v>965</v>
      </c>
      <c r="C147" s="9" t="s">
        <v>966</v>
      </c>
      <c r="D147" s="6" t="s">
        <v>422</v>
      </c>
    </row>
    <row r="148" spans="1:4" ht="45" hidden="1" outlineLevel="1" x14ac:dyDescent="0.25">
      <c r="A148" s="6" t="s">
        <v>253</v>
      </c>
      <c r="B148" s="9" t="s">
        <v>967</v>
      </c>
      <c r="C148" s="9" t="s">
        <v>968</v>
      </c>
      <c r="D148" s="6" t="s">
        <v>969</v>
      </c>
    </row>
    <row r="149" spans="1:4" collapsed="1" x14ac:dyDescent="0.25">
      <c r="A149" s="207" t="s">
        <v>970</v>
      </c>
      <c r="B149" s="207"/>
      <c r="C149" s="207"/>
      <c r="D149" s="207"/>
    </row>
    <row r="150" spans="1:4" hidden="1" outlineLevel="1" x14ac:dyDescent="0.25">
      <c r="A150" s="6" t="s">
        <v>374</v>
      </c>
      <c r="B150" s="9" t="s">
        <v>971</v>
      </c>
      <c r="C150" s="9" t="s">
        <v>972</v>
      </c>
      <c r="D150" s="9" t="s">
        <v>973</v>
      </c>
    </row>
    <row r="151" spans="1:4" collapsed="1" x14ac:dyDescent="0.25">
      <c r="A151" s="207" t="s">
        <v>974</v>
      </c>
      <c r="B151" s="207"/>
      <c r="C151" s="207"/>
      <c r="D151" s="207"/>
    </row>
    <row r="152" spans="1:4" hidden="1" outlineLevel="1" x14ac:dyDescent="0.25">
      <c r="A152" s="6" t="s">
        <v>975</v>
      </c>
      <c r="B152" s="9" t="s">
        <v>976</v>
      </c>
      <c r="C152" s="9" t="s">
        <v>977</v>
      </c>
      <c r="D152" s="6" t="s">
        <v>978</v>
      </c>
    </row>
    <row r="153" spans="1:4" hidden="1" outlineLevel="1" x14ac:dyDescent="0.25">
      <c r="A153" s="6" t="s">
        <v>500</v>
      </c>
      <c r="B153" s="9" t="s">
        <v>979</v>
      </c>
      <c r="C153" s="9" t="s">
        <v>980</v>
      </c>
      <c r="D153" s="6" t="s">
        <v>981</v>
      </c>
    </row>
    <row r="154" spans="1:4" hidden="1" outlineLevel="1" x14ac:dyDescent="0.25">
      <c r="A154" s="6" t="s">
        <v>982</v>
      </c>
      <c r="B154" s="9" t="s">
        <v>983</v>
      </c>
      <c r="C154" s="9" t="s">
        <v>984</v>
      </c>
      <c r="D154" s="6" t="s">
        <v>489</v>
      </c>
    </row>
    <row r="155" spans="1:4" ht="30" hidden="1" outlineLevel="1" x14ac:dyDescent="0.25">
      <c r="A155" s="6" t="s">
        <v>985</v>
      </c>
      <c r="B155" s="9" t="s">
        <v>986</v>
      </c>
      <c r="C155" s="9" t="s">
        <v>987</v>
      </c>
      <c r="D155" s="6" t="s">
        <v>55</v>
      </c>
    </row>
    <row r="156" spans="1:4" collapsed="1" x14ac:dyDescent="0.25">
      <c r="A156" s="7"/>
      <c r="B156" s="7"/>
      <c r="C156" s="7"/>
      <c r="D156" s="2"/>
    </row>
    <row r="157" spans="1:4" x14ac:dyDescent="0.25">
      <c r="A157" s="7"/>
      <c r="B157" s="7"/>
      <c r="C157" s="7"/>
      <c r="D157" s="2"/>
    </row>
    <row r="158" spans="1:4" x14ac:dyDescent="0.25">
      <c r="A158" s="7"/>
      <c r="B158" s="7"/>
      <c r="C158" s="7"/>
      <c r="D158" s="2"/>
    </row>
    <row r="159" spans="1:4" x14ac:dyDescent="0.25">
      <c r="A159" s="7"/>
      <c r="B159" s="7"/>
      <c r="C159" s="7"/>
      <c r="D159" s="2"/>
    </row>
    <row r="160" spans="1:4" x14ac:dyDescent="0.25">
      <c r="A160" s="7"/>
      <c r="B160" s="7"/>
      <c r="C160" s="7"/>
      <c r="D160" s="2"/>
    </row>
    <row r="161" spans="1:4" x14ac:dyDescent="0.25">
      <c r="A161" s="7"/>
      <c r="B161" s="7"/>
      <c r="C161" s="7"/>
      <c r="D161" s="2"/>
    </row>
    <row r="162" spans="1:4" x14ac:dyDescent="0.25">
      <c r="A162" s="7"/>
      <c r="B162" s="7"/>
      <c r="C162" s="7"/>
      <c r="D162" s="2"/>
    </row>
    <row r="163" spans="1:4" x14ac:dyDescent="0.25">
      <c r="A163" s="7"/>
      <c r="B163" s="7"/>
      <c r="C163" s="7"/>
      <c r="D163" s="2"/>
    </row>
    <row r="164" spans="1:4" x14ac:dyDescent="0.25">
      <c r="A164" s="7"/>
      <c r="B164" s="7"/>
      <c r="C164" s="7"/>
      <c r="D164" s="2"/>
    </row>
    <row r="165" spans="1:4" x14ac:dyDescent="0.25">
      <c r="A165" s="7"/>
      <c r="B165" s="7"/>
      <c r="C165" s="7"/>
      <c r="D165" s="2"/>
    </row>
  </sheetData>
  <mergeCells count="20">
    <mergeCell ref="A96:D96"/>
    <mergeCell ref="A2:D2"/>
    <mergeCell ref="A3:D3"/>
    <mergeCell ref="A25:D25"/>
    <mergeCell ref="A56:D56"/>
    <mergeCell ref="A64:D64"/>
    <mergeCell ref="A67:D67"/>
    <mergeCell ref="A76:D76"/>
    <mergeCell ref="A77:D77"/>
    <mergeCell ref="A81:D81"/>
    <mergeCell ref="A84:D84"/>
    <mergeCell ref="A85:D85"/>
    <mergeCell ref="A149:D149"/>
    <mergeCell ref="A151:D151"/>
    <mergeCell ref="A112:D112"/>
    <mergeCell ref="A114:D114"/>
    <mergeCell ref="A115:D115"/>
    <mergeCell ref="A129:D129"/>
    <mergeCell ref="A143:D143"/>
    <mergeCell ref="A146:D146"/>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414"/>
  <sheetViews>
    <sheetView zoomScale="90" zoomScaleNormal="90" workbookViewId="0">
      <pane xSplit="1" ySplit="1" topLeftCell="B2" activePane="bottomRight" state="frozen"/>
      <selection pane="topRight" activeCell="B1" sqref="B1"/>
      <selection pane="bottomLeft" activeCell="A2" sqref="A2"/>
      <selection pane="bottomRight" sqref="A1:D1"/>
    </sheetView>
  </sheetViews>
  <sheetFormatPr defaultColWidth="8.7109375" defaultRowHeight="15" outlineLevelRow="1" x14ac:dyDescent="0.25"/>
  <cols>
    <col min="1" max="1" width="12.5703125" style="59" customWidth="1"/>
    <col min="2" max="2" width="97.85546875" style="60" customWidth="1"/>
    <col min="3" max="3" width="124.7109375" style="62" bestFit="1" customWidth="1"/>
    <col min="4" max="4" width="33.7109375" style="12" customWidth="1"/>
    <col min="5" max="16384" width="8.7109375" style="7"/>
  </cols>
  <sheetData>
    <row r="1" spans="1:14" ht="33" x14ac:dyDescent="0.25">
      <c r="A1" s="82" t="s">
        <v>572</v>
      </c>
      <c r="B1" s="83" t="s">
        <v>36</v>
      </c>
      <c r="C1" s="82" t="s">
        <v>48</v>
      </c>
      <c r="D1" s="83" t="s">
        <v>573</v>
      </c>
    </row>
    <row r="2" spans="1:14" x14ac:dyDescent="0.25">
      <c r="A2" s="213" t="s">
        <v>1440</v>
      </c>
      <c r="B2" s="214"/>
      <c r="C2" s="214"/>
      <c r="D2" s="215"/>
      <c r="E2" s="56"/>
      <c r="F2" s="56"/>
      <c r="G2" s="56"/>
      <c r="H2" s="56"/>
      <c r="I2" s="56"/>
      <c r="J2" s="56"/>
      <c r="K2" s="56"/>
      <c r="L2" s="56"/>
      <c r="M2" s="56"/>
      <c r="N2" s="56"/>
    </row>
    <row r="3" spans="1:14" x14ac:dyDescent="0.25">
      <c r="A3" s="208" t="s">
        <v>1441</v>
      </c>
      <c r="B3" s="208"/>
      <c r="C3" s="208"/>
      <c r="D3" s="208"/>
      <c r="E3" s="56"/>
      <c r="F3" s="56"/>
      <c r="G3" s="56"/>
      <c r="H3" s="56"/>
      <c r="I3" s="56"/>
      <c r="J3" s="56"/>
      <c r="K3" s="56"/>
      <c r="L3" s="56"/>
      <c r="M3" s="56"/>
      <c r="N3" s="56"/>
    </row>
    <row r="4" spans="1:14" x14ac:dyDescent="0.25">
      <c r="A4" s="203" t="s">
        <v>1442</v>
      </c>
      <c r="B4" s="203"/>
      <c r="C4" s="203"/>
      <c r="D4" s="203"/>
      <c r="E4" s="56"/>
      <c r="F4" s="56"/>
      <c r="G4" s="56"/>
      <c r="H4" s="56"/>
      <c r="I4" s="56"/>
      <c r="J4" s="56"/>
      <c r="K4" s="56"/>
      <c r="L4" s="56"/>
      <c r="M4" s="56"/>
      <c r="N4" s="56"/>
    </row>
    <row r="5" spans="1:14" ht="30" hidden="1" outlineLevel="1" x14ac:dyDescent="0.25">
      <c r="A5" s="42" t="s">
        <v>1361</v>
      </c>
      <c r="B5" s="64" t="s">
        <v>1360</v>
      </c>
      <c r="C5" s="64" t="s">
        <v>1381</v>
      </c>
      <c r="D5" s="63" t="s">
        <v>2458</v>
      </c>
    </row>
    <row r="6" spans="1:14" ht="30" hidden="1" outlineLevel="1" x14ac:dyDescent="0.25">
      <c r="A6" s="42" t="s">
        <v>1362</v>
      </c>
      <c r="B6" s="64" t="s">
        <v>1372</v>
      </c>
      <c r="C6" s="64" t="s">
        <v>1381</v>
      </c>
      <c r="D6" s="66" t="s">
        <v>2458</v>
      </c>
    </row>
    <row r="7" spans="1:14" ht="30" hidden="1" outlineLevel="1" x14ac:dyDescent="0.25">
      <c r="A7" s="42" t="s">
        <v>1363</v>
      </c>
      <c r="B7" s="64" t="s">
        <v>1373</v>
      </c>
      <c r="C7" s="64" t="s">
        <v>1381</v>
      </c>
      <c r="D7" s="66" t="s">
        <v>2458</v>
      </c>
    </row>
    <row r="8" spans="1:14" ht="30" hidden="1" outlineLevel="1" x14ac:dyDescent="0.25">
      <c r="A8" s="42" t="s">
        <v>1364</v>
      </c>
      <c r="B8" s="64" t="s">
        <v>1374</v>
      </c>
      <c r="C8" s="64" t="s">
        <v>1381</v>
      </c>
      <c r="D8" s="66" t="s">
        <v>2458</v>
      </c>
    </row>
    <row r="9" spans="1:14" ht="30" hidden="1" outlineLevel="1" x14ac:dyDescent="0.25">
      <c r="A9" s="42" t="s">
        <v>1365</v>
      </c>
      <c r="B9" s="64" t="s">
        <v>1375</v>
      </c>
      <c r="C9" s="64" t="s">
        <v>1381</v>
      </c>
      <c r="D9" s="66" t="s">
        <v>2458</v>
      </c>
    </row>
    <row r="10" spans="1:14" ht="30" hidden="1" outlineLevel="1" x14ac:dyDescent="0.25">
      <c r="A10" s="42" t="s">
        <v>1366</v>
      </c>
      <c r="B10" s="64" t="s">
        <v>1376</v>
      </c>
      <c r="C10" s="61" t="s">
        <v>1382</v>
      </c>
      <c r="D10" s="66" t="s">
        <v>2458</v>
      </c>
    </row>
    <row r="11" spans="1:14" ht="30" hidden="1" outlineLevel="1" x14ac:dyDescent="0.25">
      <c r="A11" s="42" t="s">
        <v>1367</v>
      </c>
      <c r="B11" s="64" t="s">
        <v>1377</v>
      </c>
      <c r="C11" s="64" t="s">
        <v>1381</v>
      </c>
      <c r="D11" s="66" t="s">
        <v>2458</v>
      </c>
    </row>
    <row r="12" spans="1:14" ht="30" hidden="1" outlineLevel="1" x14ac:dyDescent="0.25">
      <c r="A12" s="42" t="s">
        <v>1368</v>
      </c>
      <c r="B12" s="64" t="s">
        <v>1378</v>
      </c>
      <c r="C12" s="64" t="s">
        <v>1381</v>
      </c>
      <c r="D12" s="66" t="s">
        <v>2458</v>
      </c>
    </row>
    <row r="13" spans="1:14" hidden="1" outlineLevel="1" x14ac:dyDescent="0.25">
      <c r="A13" s="42" t="s">
        <v>1369</v>
      </c>
      <c r="B13" s="64" t="s">
        <v>1379</v>
      </c>
      <c r="C13" s="64" t="s">
        <v>1380</v>
      </c>
      <c r="D13" s="66" t="s">
        <v>2458</v>
      </c>
    </row>
    <row r="14" spans="1:14" ht="30" hidden="1" outlineLevel="1" x14ac:dyDescent="0.25">
      <c r="A14" s="42" t="s">
        <v>1370</v>
      </c>
      <c r="B14" s="64" t="s">
        <v>1383</v>
      </c>
      <c r="C14" s="64" t="s">
        <v>1384</v>
      </c>
      <c r="D14" s="66" t="s">
        <v>2458</v>
      </c>
    </row>
    <row r="15" spans="1:14" ht="30" hidden="1" outlineLevel="1" x14ac:dyDescent="0.25">
      <c r="A15" s="42" t="s">
        <v>1371</v>
      </c>
      <c r="B15" s="64" t="s">
        <v>1385</v>
      </c>
      <c r="C15" s="64" t="s">
        <v>1381</v>
      </c>
      <c r="D15" s="66" t="s">
        <v>2458</v>
      </c>
    </row>
    <row r="16" spans="1:14" collapsed="1" x14ac:dyDescent="0.25">
      <c r="A16" s="203" t="s">
        <v>1443</v>
      </c>
      <c r="B16" s="203"/>
      <c r="C16" s="203"/>
      <c r="D16" s="203"/>
      <c r="E16" s="56"/>
      <c r="F16" s="56"/>
      <c r="G16" s="56"/>
      <c r="H16" s="56"/>
      <c r="I16" s="56"/>
      <c r="J16" s="56"/>
      <c r="K16" s="56"/>
      <c r="L16" s="56"/>
      <c r="M16" s="56"/>
      <c r="N16" s="56"/>
    </row>
    <row r="17" spans="1:4" x14ac:dyDescent="0.25">
      <c r="A17" s="207" t="s">
        <v>1444</v>
      </c>
      <c r="B17" s="207"/>
      <c r="C17" s="207"/>
      <c r="D17" s="207"/>
    </row>
    <row r="18" spans="1:4" ht="60" hidden="1" outlineLevel="1" x14ac:dyDescent="0.25">
      <c r="A18" s="42" t="s">
        <v>1388</v>
      </c>
      <c r="B18" s="64" t="s">
        <v>1386</v>
      </c>
      <c r="C18" s="64" t="s">
        <v>1387</v>
      </c>
      <c r="D18" s="66" t="s">
        <v>2458</v>
      </c>
    </row>
    <row r="19" spans="1:4" ht="30" hidden="1" outlineLevel="1" x14ac:dyDescent="0.25">
      <c r="A19" s="42" t="s">
        <v>1389</v>
      </c>
      <c r="B19" s="64" t="s">
        <v>1392</v>
      </c>
      <c r="C19" s="64" t="s">
        <v>1393</v>
      </c>
      <c r="D19" s="66" t="s">
        <v>2458</v>
      </c>
    </row>
    <row r="20" spans="1:4" ht="30" hidden="1" outlineLevel="1" x14ac:dyDescent="0.25">
      <c r="A20" s="42" t="s">
        <v>1390</v>
      </c>
      <c r="B20" s="64" t="s">
        <v>1395</v>
      </c>
      <c r="C20" s="64" t="s">
        <v>1394</v>
      </c>
      <c r="D20" s="66" t="s">
        <v>2458</v>
      </c>
    </row>
    <row r="21" spans="1:4" ht="30" hidden="1" outlineLevel="1" x14ac:dyDescent="0.25">
      <c r="A21" s="42" t="s">
        <v>1391</v>
      </c>
      <c r="B21" s="64" t="s">
        <v>1396</v>
      </c>
      <c r="C21" s="64" t="s">
        <v>1397</v>
      </c>
      <c r="D21" s="66" t="s">
        <v>2458</v>
      </c>
    </row>
    <row r="22" spans="1:4" collapsed="1" x14ac:dyDescent="0.25">
      <c r="A22" s="207" t="s">
        <v>1445</v>
      </c>
      <c r="B22" s="207"/>
      <c r="C22" s="207"/>
      <c r="D22" s="207"/>
    </row>
    <row r="23" spans="1:4" ht="60" hidden="1" outlineLevel="1" x14ac:dyDescent="0.25">
      <c r="A23" s="42" t="s">
        <v>1400</v>
      </c>
      <c r="B23" s="64" t="s">
        <v>1399</v>
      </c>
      <c r="C23" s="64" t="s">
        <v>1398</v>
      </c>
      <c r="D23" s="66" t="s">
        <v>2458</v>
      </c>
    </row>
    <row r="24" spans="1:4" ht="30" hidden="1" outlineLevel="1" x14ac:dyDescent="0.25">
      <c r="A24" s="42" t="s">
        <v>1401</v>
      </c>
      <c r="B24" s="64" t="s">
        <v>1408</v>
      </c>
      <c r="C24" s="64" t="s">
        <v>1404</v>
      </c>
      <c r="D24" s="66" t="s">
        <v>2458</v>
      </c>
    </row>
    <row r="25" spans="1:4" ht="30" hidden="1" outlineLevel="1" x14ac:dyDescent="0.25">
      <c r="A25" s="42" t="s">
        <v>1402</v>
      </c>
      <c r="B25" s="64" t="s">
        <v>1409</v>
      </c>
      <c r="C25" s="64" t="s">
        <v>1405</v>
      </c>
      <c r="D25" s="66" t="s">
        <v>2458</v>
      </c>
    </row>
    <row r="26" spans="1:4" ht="30" hidden="1" outlineLevel="1" x14ac:dyDescent="0.25">
      <c r="A26" s="42" t="s">
        <v>1403</v>
      </c>
      <c r="B26" s="64" t="s">
        <v>1407</v>
      </c>
      <c r="C26" s="64" t="s">
        <v>1406</v>
      </c>
      <c r="D26" s="66" t="s">
        <v>2458</v>
      </c>
    </row>
    <row r="27" spans="1:4" collapsed="1" x14ac:dyDescent="0.25">
      <c r="A27" s="207" t="s">
        <v>1446</v>
      </c>
      <c r="B27" s="207"/>
      <c r="C27" s="207"/>
      <c r="D27" s="207"/>
    </row>
    <row r="28" spans="1:4" hidden="1" outlineLevel="1" x14ac:dyDescent="0.25">
      <c r="A28" s="42" t="s">
        <v>1411</v>
      </c>
      <c r="B28" s="64" t="s">
        <v>1410</v>
      </c>
      <c r="C28" s="64" t="s">
        <v>1414</v>
      </c>
      <c r="D28" s="66" t="s">
        <v>2458</v>
      </c>
    </row>
    <row r="29" spans="1:4" ht="30" hidden="1" outlineLevel="1" x14ac:dyDescent="0.25">
      <c r="A29" s="42" t="s">
        <v>1412</v>
      </c>
      <c r="B29" s="64" t="s">
        <v>1415</v>
      </c>
      <c r="C29" s="64" t="s">
        <v>1416</v>
      </c>
      <c r="D29" s="66" t="s">
        <v>2458</v>
      </c>
    </row>
    <row r="30" spans="1:4" hidden="1" outlineLevel="1" x14ac:dyDescent="0.25">
      <c r="A30" s="42" t="s">
        <v>1413</v>
      </c>
      <c r="B30" s="64" t="s">
        <v>1417</v>
      </c>
      <c r="C30" s="64" t="s">
        <v>1418</v>
      </c>
      <c r="D30" s="66" t="s">
        <v>2458</v>
      </c>
    </row>
    <row r="31" spans="1:4" collapsed="1" x14ac:dyDescent="0.25">
      <c r="A31" s="207" t="s">
        <v>1447</v>
      </c>
      <c r="B31" s="207"/>
      <c r="C31" s="207"/>
      <c r="D31" s="207"/>
    </row>
    <row r="32" spans="1:4" ht="45" hidden="1" outlineLevel="1" x14ac:dyDescent="0.25">
      <c r="A32" s="42" t="s">
        <v>1421</v>
      </c>
      <c r="B32" s="64" t="s">
        <v>1419</v>
      </c>
      <c r="C32" s="64" t="s">
        <v>1420</v>
      </c>
      <c r="D32" s="66" t="s">
        <v>2458</v>
      </c>
    </row>
    <row r="33" spans="1:4" ht="30" hidden="1" outlineLevel="1" x14ac:dyDescent="0.25">
      <c r="A33" s="42" t="s">
        <v>1422</v>
      </c>
      <c r="B33" s="64" t="s">
        <v>1424</v>
      </c>
      <c r="C33" s="64" t="s">
        <v>1425</v>
      </c>
      <c r="D33" s="66" t="s">
        <v>2458</v>
      </c>
    </row>
    <row r="34" spans="1:4" ht="30" hidden="1" outlineLevel="1" x14ac:dyDescent="0.25">
      <c r="A34" s="42" t="s">
        <v>1423</v>
      </c>
      <c r="B34" s="64" t="s">
        <v>1426</v>
      </c>
      <c r="C34" s="64" t="s">
        <v>1427</v>
      </c>
      <c r="D34" s="66" t="s">
        <v>2458</v>
      </c>
    </row>
    <row r="35" spans="1:4" collapsed="1" x14ac:dyDescent="0.25">
      <c r="A35" s="207" t="s">
        <v>1448</v>
      </c>
      <c r="B35" s="207"/>
      <c r="C35" s="207"/>
      <c r="D35" s="207"/>
    </row>
    <row r="36" spans="1:4" ht="30" hidden="1" outlineLevel="1" x14ac:dyDescent="0.25">
      <c r="A36" s="42" t="s">
        <v>1429</v>
      </c>
      <c r="B36" s="64" t="s">
        <v>1428</v>
      </c>
      <c r="C36" s="64" t="s">
        <v>1433</v>
      </c>
      <c r="D36" s="66" t="s">
        <v>2458</v>
      </c>
    </row>
    <row r="37" spans="1:4" ht="30" hidden="1" outlineLevel="1" x14ac:dyDescent="0.25">
      <c r="A37" s="42" t="s">
        <v>1430</v>
      </c>
      <c r="B37" s="64" t="s">
        <v>1434</v>
      </c>
      <c r="C37" s="64" t="s">
        <v>1435</v>
      </c>
      <c r="D37" s="66" t="s">
        <v>2458</v>
      </c>
    </row>
    <row r="38" spans="1:4" ht="30" hidden="1" outlineLevel="1" x14ac:dyDescent="0.25">
      <c r="A38" s="42" t="s">
        <v>1431</v>
      </c>
      <c r="B38" s="64" t="s">
        <v>1436</v>
      </c>
      <c r="C38" s="64" t="s">
        <v>1437</v>
      </c>
      <c r="D38" s="66" t="s">
        <v>2458</v>
      </c>
    </row>
    <row r="39" spans="1:4" ht="30" hidden="1" outlineLevel="1" x14ac:dyDescent="0.25">
      <c r="A39" s="42" t="s">
        <v>1432</v>
      </c>
      <c r="B39" s="64" t="s">
        <v>1438</v>
      </c>
      <c r="C39" s="64" t="s">
        <v>1439</v>
      </c>
      <c r="D39" s="66" t="s">
        <v>2458</v>
      </c>
    </row>
    <row r="40" spans="1:4" collapsed="1" x14ac:dyDescent="0.25">
      <c r="A40" s="207" t="s">
        <v>1449</v>
      </c>
      <c r="B40" s="207"/>
      <c r="C40" s="207"/>
      <c r="D40" s="207"/>
    </row>
    <row r="41" spans="1:4" hidden="1" outlineLevel="1" x14ac:dyDescent="0.25">
      <c r="A41" s="42" t="s">
        <v>1451</v>
      </c>
      <c r="B41" s="64" t="s">
        <v>1455</v>
      </c>
      <c r="C41" s="64" t="s">
        <v>1456</v>
      </c>
      <c r="D41" s="66" t="s">
        <v>2458</v>
      </c>
    </row>
    <row r="42" spans="1:4" ht="30" hidden="1" outlineLevel="1" x14ac:dyDescent="0.25">
      <c r="A42" s="42" t="s">
        <v>1452</v>
      </c>
      <c r="B42" s="64" t="s">
        <v>1457</v>
      </c>
      <c r="C42" s="64" t="s">
        <v>1458</v>
      </c>
      <c r="D42" s="66" t="s">
        <v>2458</v>
      </c>
    </row>
    <row r="43" spans="1:4" hidden="1" outlineLevel="1" x14ac:dyDescent="0.25">
      <c r="A43" s="42" t="s">
        <v>1453</v>
      </c>
      <c r="B43" s="64" t="s">
        <v>1459</v>
      </c>
      <c r="C43" s="64" t="s">
        <v>1460</v>
      </c>
      <c r="D43" s="66" t="s">
        <v>2458</v>
      </c>
    </row>
    <row r="44" spans="1:4" ht="30" hidden="1" outlineLevel="1" x14ac:dyDescent="0.25">
      <c r="A44" s="42" t="s">
        <v>1454</v>
      </c>
      <c r="B44" s="64" t="s">
        <v>1462</v>
      </c>
      <c r="C44" s="64" t="s">
        <v>1461</v>
      </c>
      <c r="D44" s="66" t="s">
        <v>2458</v>
      </c>
    </row>
    <row r="45" spans="1:4" collapsed="1" x14ac:dyDescent="0.25">
      <c r="A45" s="207" t="s">
        <v>1450</v>
      </c>
      <c r="B45" s="207"/>
      <c r="C45" s="207"/>
      <c r="D45" s="207"/>
    </row>
    <row r="46" spans="1:4" hidden="1" outlineLevel="1" x14ac:dyDescent="0.25">
      <c r="A46" s="42" t="s">
        <v>1463</v>
      </c>
      <c r="B46" s="64" t="s">
        <v>1467</v>
      </c>
      <c r="C46" s="64" t="s">
        <v>1468</v>
      </c>
      <c r="D46" s="66" t="s">
        <v>2458</v>
      </c>
    </row>
    <row r="47" spans="1:4" ht="30" hidden="1" outlineLevel="1" x14ac:dyDescent="0.25">
      <c r="A47" s="42" t="s">
        <v>1464</v>
      </c>
      <c r="B47" s="64" t="s">
        <v>1469</v>
      </c>
      <c r="C47" s="64" t="s">
        <v>1470</v>
      </c>
      <c r="D47" s="66" t="s">
        <v>2458</v>
      </c>
    </row>
    <row r="48" spans="1:4" ht="30" hidden="1" outlineLevel="1" x14ac:dyDescent="0.25">
      <c r="A48" s="42" t="s">
        <v>1465</v>
      </c>
      <c r="B48" s="64" t="s">
        <v>1471</v>
      </c>
      <c r="C48" s="64" t="s">
        <v>1472</v>
      </c>
      <c r="D48" s="66" t="s">
        <v>2458</v>
      </c>
    </row>
    <row r="49" spans="1:14" ht="30" hidden="1" outlineLevel="1" x14ac:dyDescent="0.25">
      <c r="A49" s="42" t="s">
        <v>1466</v>
      </c>
      <c r="B49" s="64" t="s">
        <v>1473</v>
      </c>
      <c r="C49" s="64" t="s">
        <v>1474</v>
      </c>
      <c r="D49" s="66" t="s">
        <v>2458</v>
      </c>
    </row>
    <row r="50" spans="1:14" collapsed="1" x14ac:dyDescent="0.25">
      <c r="A50" s="208" t="s">
        <v>1475</v>
      </c>
      <c r="B50" s="208"/>
      <c r="C50" s="208"/>
      <c r="D50" s="208"/>
      <c r="E50" s="56"/>
      <c r="F50" s="56"/>
      <c r="G50" s="56"/>
      <c r="H50" s="56"/>
      <c r="I50" s="56"/>
      <c r="J50" s="56"/>
      <c r="K50" s="56"/>
      <c r="L50" s="56"/>
      <c r="M50" s="56"/>
      <c r="N50" s="56"/>
    </row>
    <row r="51" spans="1:14" x14ac:dyDescent="0.25">
      <c r="A51" s="203" t="s">
        <v>1476</v>
      </c>
      <c r="B51" s="203"/>
      <c r="C51" s="203"/>
      <c r="D51" s="203"/>
      <c r="E51" s="56"/>
      <c r="F51" s="56"/>
      <c r="G51" s="56"/>
      <c r="H51" s="56"/>
      <c r="I51" s="56"/>
      <c r="J51" s="56"/>
      <c r="K51" s="56"/>
      <c r="L51" s="56"/>
      <c r="M51" s="56"/>
      <c r="N51" s="56"/>
    </row>
    <row r="52" spans="1:14" ht="30" hidden="1" outlineLevel="1" x14ac:dyDescent="0.25">
      <c r="A52" s="42" t="s">
        <v>1481</v>
      </c>
      <c r="B52" s="64" t="s">
        <v>1482</v>
      </c>
      <c r="C52" s="64" t="s">
        <v>1483</v>
      </c>
      <c r="D52" s="66" t="s">
        <v>2458</v>
      </c>
    </row>
    <row r="53" spans="1:14" ht="30" hidden="1" outlineLevel="1" x14ac:dyDescent="0.25">
      <c r="A53" s="42" t="s">
        <v>1484</v>
      </c>
      <c r="B53" s="64" t="s">
        <v>1492</v>
      </c>
      <c r="C53" s="64" t="s">
        <v>1493</v>
      </c>
      <c r="D53" s="66" t="s">
        <v>2458</v>
      </c>
    </row>
    <row r="54" spans="1:14" hidden="1" outlineLevel="1" x14ac:dyDescent="0.25">
      <c r="A54" s="42" t="s">
        <v>1485</v>
      </c>
      <c r="B54" s="64" t="s">
        <v>1494</v>
      </c>
      <c r="C54" s="64"/>
      <c r="D54" s="66" t="s">
        <v>2458</v>
      </c>
    </row>
    <row r="55" spans="1:14" hidden="1" outlineLevel="1" x14ac:dyDescent="0.25">
      <c r="A55" s="42" t="s">
        <v>1486</v>
      </c>
      <c r="B55" s="64" t="s">
        <v>1495</v>
      </c>
      <c r="C55" s="64"/>
      <c r="D55" s="66" t="s">
        <v>2458</v>
      </c>
    </row>
    <row r="56" spans="1:14" ht="30" hidden="1" outlineLevel="1" x14ac:dyDescent="0.25">
      <c r="A56" s="42" t="s">
        <v>1487</v>
      </c>
      <c r="B56" s="64" t="s">
        <v>1497</v>
      </c>
      <c r="C56" s="64" t="s">
        <v>1496</v>
      </c>
      <c r="D56" s="66" t="s">
        <v>2458</v>
      </c>
    </row>
    <row r="57" spans="1:14" ht="30" hidden="1" outlineLevel="1" x14ac:dyDescent="0.25">
      <c r="A57" s="42" t="s">
        <v>1488</v>
      </c>
      <c r="B57" s="64" t="s">
        <v>1498</v>
      </c>
      <c r="C57" s="64" t="s">
        <v>1499</v>
      </c>
      <c r="D57" s="66" t="s">
        <v>2458</v>
      </c>
    </row>
    <row r="58" spans="1:14" ht="30" hidden="1" outlineLevel="1" x14ac:dyDescent="0.25">
      <c r="A58" s="42" t="s">
        <v>1489</v>
      </c>
      <c r="B58" s="64" t="s">
        <v>1501</v>
      </c>
      <c r="C58" s="64" t="s">
        <v>1500</v>
      </c>
      <c r="D58" s="66" t="s">
        <v>2458</v>
      </c>
    </row>
    <row r="59" spans="1:14" ht="30" hidden="1" outlineLevel="1" x14ac:dyDescent="0.25">
      <c r="A59" s="42" t="s">
        <v>1490</v>
      </c>
      <c r="B59" s="64" t="s">
        <v>1502</v>
      </c>
      <c r="C59" s="64" t="s">
        <v>1503</v>
      </c>
      <c r="D59" s="66" t="s">
        <v>2458</v>
      </c>
    </row>
    <row r="60" spans="1:14" ht="45" hidden="1" outlineLevel="1" x14ac:dyDescent="0.25">
      <c r="A60" s="42" t="s">
        <v>1491</v>
      </c>
      <c r="B60" s="64" t="s">
        <v>1504</v>
      </c>
      <c r="C60" s="64" t="s">
        <v>1505</v>
      </c>
      <c r="D60" s="66" t="s">
        <v>2458</v>
      </c>
    </row>
    <row r="61" spans="1:14" collapsed="1" x14ac:dyDescent="0.25">
      <c r="A61" s="203" t="s">
        <v>1477</v>
      </c>
      <c r="B61" s="203"/>
      <c r="C61" s="203"/>
      <c r="D61" s="203"/>
      <c r="E61" s="56"/>
      <c r="F61" s="56"/>
      <c r="G61" s="56"/>
      <c r="H61" s="56"/>
      <c r="I61" s="56"/>
      <c r="J61" s="56"/>
      <c r="K61" s="56"/>
      <c r="L61" s="56"/>
      <c r="M61" s="56"/>
      <c r="N61" s="56"/>
    </row>
    <row r="62" spans="1:14" ht="30" hidden="1" outlineLevel="1" x14ac:dyDescent="0.25">
      <c r="A62" s="42" t="s">
        <v>1479</v>
      </c>
      <c r="B62" s="64" t="s">
        <v>1478</v>
      </c>
      <c r="C62" s="64" t="s">
        <v>1480</v>
      </c>
      <c r="D62" s="63" t="s">
        <v>2459</v>
      </c>
    </row>
    <row r="63" spans="1:14" collapsed="1" x14ac:dyDescent="0.25">
      <c r="A63" s="208" t="s">
        <v>2298</v>
      </c>
      <c r="B63" s="208"/>
      <c r="C63" s="208"/>
      <c r="D63" s="208"/>
      <c r="E63" s="56"/>
      <c r="F63" s="56"/>
      <c r="G63" s="56"/>
      <c r="H63" s="56"/>
      <c r="I63" s="56"/>
      <c r="J63" s="56"/>
      <c r="K63" s="56"/>
      <c r="L63" s="56"/>
      <c r="M63" s="56"/>
      <c r="N63" s="56"/>
    </row>
    <row r="64" spans="1:14" x14ac:dyDescent="0.25">
      <c r="A64" s="203" t="s">
        <v>2299</v>
      </c>
      <c r="B64" s="203"/>
      <c r="C64" s="203"/>
      <c r="D64" s="203"/>
      <c r="E64" s="56"/>
      <c r="F64" s="56"/>
      <c r="G64" s="56"/>
      <c r="H64" s="56"/>
      <c r="I64" s="56"/>
      <c r="J64" s="56"/>
      <c r="K64" s="56"/>
      <c r="L64" s="56"/>
      <c r="M64" s="56"/>
      <c r="N64" s="56"/>
    </row>
    <row r="65" spans="1:14" hidden="1" outlineLevel="1" x14ac:dyDescent="0.25">
      <c r="A65" s="42" t="s">
        <v>1506</v>
      </c>
      <c r="B65" s="64" t="s">
        <v>1510</v>
      </c>
      <c r="C65" s="64" t="s">
        <v>1511</v>
      </c>
      <c r="D65" s="66" t="s">
        <v>2458</v>
      </c>
    </row>
    <row r="66" spans="1:14" hidden="1" outlineLevel="1" x14ac:dyDescent="0.25">
      <c r="A66" s="42" t="s">
        <v>1507</v>
      </c>
      <c r="B66" s="64" t="s">
        <v>1512</v>
      </c>
      <c r="C66" s="64" t="s">
        <v>1513</v>
      </c>
      <c r="D66" s="66" t="s">
        <v>2458</v>
      </c>
    </row>
    <row r="67" spans="1:14" ht="30" hidden="1" outlineLevel="1" x14ac:dyDescent="0.25">
      <c r="A67" s="42" t="s">
        <v>1508</v>
      </c>
      <c r="B67" s="64" t="s">
        <v>1514</v>
      </c>
      <c r="C67" s="64" t="s">
        <v>1515</v>
      </c>
      <c r="D67" s="66" t="s">
        <v>2458</v>
      </c>
    </row>
    <row r="68" spans="1:14" ht="30" hidden="1" outlineLevel="1" x14ac:dyDescent="0.25">
      <c r="A68" s="42" t="s">
        <v>1509</v>
      </c>
      <c r="B68" s="64" t="s">
        <v>1516</v>
      </c>
      <c r="C68" s="64" t="s">
        <v>1517</v>
      </c>
      <c r="D68" s="66" t="s">
        <v>2458</v>
      </c>
    </row>
    <row r="69" spans="1:14" collapsed="1" x14ac:dyDescent="0.25">
      <c r="A69" s="208" t="s">
        <v>2300</v>
      </c>
      <c r="B69" s="208"/>
      <c r="C69" s="208"/>
      <c r="D69" s="208"/>
      <c r="E69" s="56"/>
      <c r="F69" s="56"/>
      <c r="G69" s="56"/>
      <c r="H69" s="56"/>
      <c r="I69" s="56"/>
      <c r="J69" s="56"/>
      <c r="K69" s="56"/>
      <c r="L69" s="56"/>
      <c r="M69" s="56"/>
      <c r="N69" s="56"/>
    </row>
    <row r="70" spans="1:14" ht="30" hidden="1" outlineLevel="1" x14ac:dyDescent="0.25">
      <c r="A70" s="42" t="s">
        <v>753</v>
      </c>
      <c r="B70" s="64" t="s">
        <v>1518</v>
      </c>
      <c r="C70" s="64" t="s">
        <v>1519</v>
      </c>
      <c r="D70" s="66" t="s">
        <v>2458</v>
      </c>
    </row>
    <row r="71" spans="1:14" hidden="1" outlineLevel="1" x14ac:dyDescent="0.25">
      <c r="A71" s="42" t="s">
        <v>754</v>
      </c>
      <c r="B71" s="64" t="s">
        <v>1520</v>
      </c>
      <c r="C71" s="64" t="s">
        <v>1521</v>
      </c>
      <c r="D71" s="66" t="s">
        <v>2458</v>
      </c>
    </row>
    <row r="72" spans="1:14" collapsed="1" x14ac:dyDescent="0.25">
      <c r="A72" s="208" t="s">
        <v>2301</v>
      </c>
      <c r="B72" s="208"/>
      <c r="C72" s="208"/>
      <c r="D72" s="208"/>
      <c r="E72" s="56"/>
      <c r="F72" s="56"/>
      <c r="G72" s="56"/>
      <c r="H72" s="56"/>
      <c r="I72" s="56"/>
      <c r="J72" s="56"/>
      <c r="K72" s="56"/>
      <c r="L72" s="56"/>
      <c r="M72" s="56"/>
      <c r="N72" s="56"/>
    </row>
    <row r="73" spans="1:14" ht="30" hidden="1" outlineLevel="1" x14ac:dyDescent="0.25">
      <c r="A73" s="42" t="s">
        <v>1522</v>
      </c>
      <c r="B73" s="64" t="s">
        <v>1535</v>
      </c>
      <c r="C73" s="64" t="s">
        <v>1536</v>
      </c>
      <c r="D73" s="66" t="s">
        <v>2458</v>
      </c>
    </row>
    <row r="74" spans="1:14" ht="30" hidden="1" outlineLevel="1" x14ac:dyDescent="0.25">
      <c r="A74" s="42" t="s">
        <v>1523</v>
      </c>
      <c r="B74" s="64" t="s">
        <v>1537</v>
      </c>
      <c r="C74" s="64" t="s">
        <v>1538</v>
      </c>
      <c r="D74" s="66" t="s">
        <v>2458</v>
      </c>
    </row>
    <row r="75" spans="1:14" ht="30" hidden="1" outlineLevel="1" x14ac:dyDescent="0.25">
      <c r="A75" s="42" t="s">
        <v>1524</v>
      </c>
      <c r="B75" s="64" t="s">
        <v>1539</v>
      </c>
      <c r="C75" s="64" t="s">
        <v>1540</v>
      </c>
      <c r="D75" s="66" t="s">
        <v>2458</v>
      </c>
    </row>
    <row r="76" spans="1:14" ht="30" hidden="1" outlineLevel="1" x14ac:dyDescent="0.25">
      <c r="A76" s="42" t="s">
        <v>1525</v>
      </c>
      <c r="B76" s="64" t="s">
        <v>1541</v>
      </c>
      <c r="C76" s="64" t="s">
        <v>1542</v>
      </c>
      <c r="D76" s="66" t="s">
        <v>2458</v>
      </c>
    </row>
    <row r="77" spans="1:14" ht="30" hidden="1" outlineLevel="1" x14ac:dyDescent="0.25">
      <c r="A77" s="42" t="s">
        <v>1526</v>
      </c>
      <c r="B77" s="64" t="s">
        <v>1543</v>
      </c>
      <c r="C77" s="64" t="s">
        <v>1544</v>
      </c>
      <c r="D77" s="66" t="s">
        <v>2458</v>
      </c>
    </row>
    <row r="78" spans="1:14" ht="30" hidden="1" outlineLevel="1" x14ac:dyDescent="0.25">
      <c r="A78" s="42" t="s">
        <v>1527</v>
      </c>
      <c r="B78" s="64" t="s">
        <v>1545</v>
      </c>
      <c r="C78" s="64" t="s">
        <v>1546</v>
      </c>
      <c r="D78" s="66" t="s">
        <v>2458</v>
      </c>
    </row>
    <row r="79" spans="1:14" ht="30" hidden="1" outlineLevel="1" x14ac:dyDescent="0.25">
      <c r="A79" s="42" t="s">
        <v>1528</v>
      </c>
      <c r="B79" s="64" t="s">
        <v>1547</v>
      </c>
      <c r="C79" s="64" t="s">
        <v>1548</v>
      </c>
      <c r="D79" s="66" t="s">
        <v>2458</v>
      </c>
    </row>
    <row r="80" spans="1:14" ht="30" hidden="1" outlineLevel="1" x14ac:dyDescent="0.25">
      <c r="A80" s="42" t="s">
        <v>1529</v>
      </c>
      <c r="B80" s="64" t="s">
        <v>1549</v>
      </c>
      <c r="C80" s="64" t="s">
        <v>1550</v>
      </c>
      <c r="D80" s="66" t="s">
        <v>2458</v>
      </c>
    </row>
    <row r="81" spans="1:14" ht="30" hidden="1" outlineLevel="1" x14ac:dyDescent="0.25">
      <c r="A81" s="42" t="s">
        <v>1530</v>
      </c>
      <c r="B81" s="64" t="s">
        <v>1551</v>
      </c>
      <c r="C81" s="64" t="s">
        <v>1552</v>
      </c>
      <c r="D81" s="66" t="s">
        <v>2458</v>
      </c>
    </row>
    <row r="82" spans="1:14" ht="30" hidden="1" outlineLevel="1" x14ac:dyDescent="0.25">
      <c r="A82" s="42" t="s">
        <v>1531</v>
      </c>
      <c r="B82" s="64" t="s">
        <v>1539</v>
      </c>
      <c r="C82" s="64" t="s">
        <v>1540</v>
      </c>
      <c r="D82" s="66" t="s">
        <v>2458</v>
      </c>
      <c r="E82" s="7" t="s">
        <v>1553</v>
      </c>
    </row>
    <row r="83" spans="1:14" ht="45" hidden="1" outlineLevel="1" x14ac:dyDescent="0.25">
      <c r="A83" s="42" t="s">
        <v>1532</v>
      </c>
      <c r="B83" s="64" t="s">
        <v>1554</v>
      </c>
      <c r="C83" s="64" t="s">
        <v>1555</v>
      </c>
      <c r="D83" s="66" t="s">
        <v>2458</v>
      </c>
    </row>
    <row r="84" spans="1:14" ht="30" hidden="1" outlineLevel="1" x14ac:dyDescent="0.25">
      <c r="A84" s="42" t="s">
        <v>1533</v>
      </c>
      <c r="B84" s="64" t="s">
        <v>1556</v>
      </c>
      <c r="C84" s="64" t="s">
        <v>1557</v>
      </c>
      <c r="D84" s="66" t="s">
        <v>2458</v>
      </c>
    </row>
    <row r="85" spans="1:14" ht="30" hidden="1" outlineLevel="1" x14ac:dyDescent="0.25">
      <c r="A85" s="42" t="s">
        <v>1534</v>
      </c>
      <c r="B85" s="64" t="s">
        <v>1558</v>
      </c>
      <c r="C85" s="64" t="s">
        <v>1559</v>
      </c>
      <c r="D85" s="66" t="s">
        <v>2458</v>
      </c>
    </row>
    <row r="86" spans="1:14" collapsed="1" x14ac:dyDescent="0.25">
      <c r="A86" s="208" t="s">
        <v>2302</v>
      </c>
      <c r="B86" s="208"/>
      <c r="C86" s="208"/>
      <c r="D86" s="208"/>
      <c r="E86" s="56"/>
      <c r="F86" s="56"/>
      <c r="G86" s="56"/>
      <c r="H86" s="56"/>
      <c r="I86" s="56"/>
      <c r="J86" s="56"/>
      <c r="K86" s="56"/>
      <c r="L86" s="56"/>
      <c r="M86" s="56"/>
      <c r="N86" s="56"/>
    </row>
    <row r="87" spans="1:14" ht="60" hidden="1" outlineLevel="1" x14ac:dyDescent="0.25">
      <c r="A87" s="42" t="s">
        <v>1561</v>
      </c>
      <c r="B87" s="64" t="s">
        <v>1560</v>
      </c>
      <c r="C87" s="64" t="s">
        <v>1567</v>
      </c>
      <c r="D87" s="66" t="s">
        <v>2458</v>
      </c>
    </row>
    <row r="88" spans="1:14" ht="60" hidden="1" outlineLevel="1" x14ac:dyDescent="0.25">
      <c r="A88" s="42" t="s">
        <v>1562</v>
      </c>
      <c r="B88" s="64" t="s">
        <v>1568</v>
      </c>
      <c r="C88" s="64" t="s">
        <v>1567</v>
      </c>
      <c r="D88" s="66" t="s">
        <v>2458</v>
      </c>
    </row>
    <row r="89" spans="1:14" ht="60" hidden="1" outlineLevel="1" x14ac:dyDescent="0.25">
      <c r="A89" s="42" t="s">
        <v>1563</v>
      </c>
      <c r="B89" s="64" t="s">
        <v>1569</v>
      </c>
      <c r="C89" s="64" t="s">
        <v>1567</v>
      </c>
      <c r="D89" s="66" t="s">
        <v>2458</v>
      </c>
    </row>
    <row r="90" spans="1:14" ht="30" hidden="1" outlineLevel="1" x14ac:dyDescent="0.25">
      <c r="A90" s="42" t="s">
        <v>1564</v>
      </c>
      <c r="B90" s="64" t="s">
        <v>1570</v>
      </c>
      <c r="C90" s="64" t="s">
        <v>1571</v>
      </c>
      <c r="D90" s="66" t="s">
        <v>2458</v>
      </c>
    </row>
    <row r="91" spans="1:14" ht="30" hidden="1" outlineLevel="1" x14ac:dyDescent="0.25">
      <c r="A91" s="42" t="s">
        <v>1565</v>
      </c>
      <c r="B91" s="64" t="s">
        <v>1572</v>
      </c>
      <c r="C91" s="64" t="s">
        <v>1574</v>
      </c>
      <c r="D91" s="66" t="s">
        <v>2458</v>
      </c>
    </row>
    <row r="92" spans="1:14" ht="30" hidden="1" outlineLevel="1" x14ac:dyDescent="0.25">
      <c r="A92" s="42" t="s">
        <v>1566</v>
      </c>
      <c r="B92" s="64" t="s">
        <v>1573</v>
      </c>
      <c r="C92" s="64" t="s">
        <v>1575</v>
      </c>
      <c r="D92" s="66" t="s">
        <v>2458</v>
      </c>
    </row>
    <row r="93" spans="1:14" collapsed="1" x14ac:dyDescent="0.25">
      <c r="A93" s="208" t="s">
        <v>2303</v>
      </c>
      <c r="B93" s="208"/>
      <c r="C93" s="208"/>
      <c r="D93" s="208"/>
      <c r="E93" s="56"/>
      <c r="F93" s="56"/>
      <c r="G93" s="56"/>
      <c r="H93" s="56"/>
      <c r="I93" s="56"/>
      <c r="J93" s="56"/>
      <c r="K93" s="56"/>
      <c r="L93" s="56"/>
      <c r="M93" s="56"/>
      <c r="N93" s="56"/>
    </row>
    <row r="94" spans="1:14" hidden="1" outlineLevel="1" x14ac:dyDescent="0.25">
      <c r="A94" s="42" t="s">
        <v>1576</v>
      </c>
      <c r="B94" s="64" t="s">
        <v>1587</v>
      </c>
      <c r="C94" s="64" t="s">
        <v>1588</v>
      </c>
      <c r="D94" s="66" t="s">
        <v>2458</v>
      </c>
    </row>
    <row r="95" spans="1:14" ht="30" hidden="1" outlineLevel="1" x14ac:dyDescent="0.25">
      <c r="A95" s="42" t="s">
        <v>1577</v>
      </c>
      <c r="B95" s="64" t="s">
        <v>1589</v>
      </c>
      <c r="C95" s="64" t="s">
        <v>1590</v>
      </c>
      <c r="D95" s="66" t="s">
        <v>2458</v>
      </c>
    </row>
    <row r="96" spans="1:14" hidden="1" outlineLevel="1" x14ac:dyDescent="0.25">
      <c r="A96" s="42" t="s">
        <v>1578</v>
      </c>
      <c r="B96" s="64" t="s">
        <v>1591</v>
      </c>
      <c r="C96" s="64" t="s">
        <v>1592</v>
      </c>
      <c r="D96" s="66" t="s">
        <v>2458</v>
      </c>
    </row>
    <row r="97" spans="1:14" ht="30" hidden="1" outlineLevel="1" x14ac:dyDescent="0.25">
      <c r="A97" s="42" t="s">
        <v>1579</v>
      </c>
      <c r="B97" s="64" t="s">
        <v>1593</v>
      </c>
      <c r="C97" s="64" t="s">
        <v>1594</v>
      </c>
      <c r="D97" s="66" t="s">
        <v>2458</v>
      </c>
    </row>
    <row r="98" spans="1:14" ht="30" hidden="1" outlineLevel="1" x14ac:dyDescent="0.25">
      <c r="A98" s="42" t="s">
        <v>1580</v>
      </c>
      <c r="B98" s="64" t="s">
        <v>1595</v>
      </c>
      <c r="C98" s="64" t="s">
        <v>1596</v>
      </c>
      <c r="D98" s="66" t="s">
        <v>2458</v>
      </c>
    </row>
    <row r="99" spans="1:14" ht="30" hidden="1" outlineLevel="1" x14ac:dyDescent="0.25">
      <c r="A99" s="42" t="s">
        <v>1581</v>
      </c>
      <c r="B99" s="64" t="s">
        <v>1597</v>
      </c>
      <c r="C99" s="64" t="s">
        <v>1598</v>
      </c>
      <c r="D99" s="66" t="s">
        <v>2458</v>
      </c>
    </row>
    <row r="100" spans="1:14" ht="30" hidden="1" outlineLevel="1" x14ac:dyDescent="0.25">
      <c r="A100" s="42" t="s">
        <v>1582</v>
      </c>
      <c r="B100" s="64" t="s">
        <v>1599</v>
      </c>
      <c r="C100" s="64" t="s">
        <v>1598</v>
      </c>
      <c r="D100" s="66" t="s">
        <v>2458</v>
      </c>
    </row>
    <row r="101" spans="1:14" hidden="1" outlineLevel="1" x14ac:dyDescent="0.25">
      <c r="A101" s="42" t="s">
        <v>1583</v>
      </c>
      <c r="B101" s="64" t="s">
        <v>1600</v>
      </c>
      <c r="C101" s="64" t="s">
        <v>1602</v>
      </c>
      <c r="D101" s="66" t="s">
        <v>2458</v>
      </c>
    </row>
    <row r="102" spans="1:14" hidden="1" outlineLevel="1" x14ac:dyDescent="0.25">
      <c r="A102" s="42" t="s">
        <v>1584</v>
      </c>
      <c r="B102" s="64" t="s">
        <v>1601</v>
      </c>
      <c r="C102" s="64" t="s">
        <v>1602</v>
      </c>
      <c r="D102" s="66" t="s">
        <v>2458</v>
      </c>
    </row>
    <row r="103" spans="1:14" hidden="1" outlineLevel="1" x14ac:dyDescent="0.25">
      <c r="A103" s="42" t="s">
        <v>1585</v>
      </c>
      <c r="B103" s="64" t="s">
        <v>1603</v>
      </c>
      <c r="C103" s="64" t="s">
        <v>1606</v>
      </c>
      <c r="D103" s="66" t="s">
        <v>2458</v>
      </c>
    </row>
    <row r="104" spans="1:14" ht="45" hidden="1" outlineLevel="1" x14ac:dyDescent="0.25">
      <c r="A104" s="42" t="s">
        <v>1586</v>
      </c>
      <c r="B104" s="64" t="s">
        <v>1604</v>
      </c>
      <c r="C104" s="64" t="s">
        <v>1605</v>
      </c>
      <c r="D104" s="66" t="s">
        <v>2458</v>
      </c>
    </row>
    <row r="105" spans="1:14" collapsed="1" x14ac:dyDescent="0.25">
      <c r="A105" s="209" t="s">
        <v>2304</v>
      </c>
      <c r="B105" s="209"/>
      <c r="C105" s="209"/>
      <c r="D105" s="209"/>
    </row>
    <row r="106" spans="1:14" x14ac:dyDescent="0.25">
      <c r="A106" s="208" t="s">
        <v>2305</v>
      </c>
      <c r="B106" s="208"/>
      <c r="C106" s="208"/>
      <c r="D106" s="208"/>
      <c r="E106" s="56"/>
      <c r="F106" s="56"/>
      <c r="G106" s="56"/>
      <c r="H106" s="56"/>
      <c r="I106" s="56"/>
      <c r="J106" s="56"/>
      <c r="K106" s="56"/>
      <c r="L106" s="56"/>
      <c r="M106" s="56"/>
      <c r="N106" s="56"/>
    </row>
    <row r="107" spans="1:14" ht="30" hidden="1" outlineLevel="1" x14ac:dyDescent="0.25">
      <c r="A107" s="42" t="s">
        <v>1608</v>
      </c>
      <c r="B107" s="64" t="s">
        <v>1607</v>
      </c>
      <c r="C107" s="64" t="s">
        <v>1631</v>
      </c>
      <c r="D107" s="63" t="s">
        <v>128</v>
      </c>
    </row>
    <row r="108" spans="1:14" ht="30" hidden="1" outlineLevel="1" x14ac:dyDescent="0.25">
      <c r="A108" s="42" t="s">
        <v>1609</v>
      </c>
      <c r="B108" s="64" t="s">
        <v>1632</v>
      </c>
      <c r="C108" s="64" t="s">
        <v>1633</v>
      </c>
      <c r="D108" s="66" t="s">
        <v>128</v>
      </c>
    </row>
    <row r="109" spans="1:14" ht="30" hidden="1" outlineLevel="1" x14ac:dyDescent="0.25">
      <c r="A109" s="42" t="s">
        <v>1610</v>
      </c>
      <c r="B109" s="64" t="s">
        <v>1634</v>
      </c>
      <c r="C109" s="64" t="s">
        <v>1635</v>
      </c>
      <c r="D109" s="66" t="s">
        <v>128</v>
      </c>
    </row>
    <row r="110" spans="1:14" ht="30" hidden="1" outlineLevel="1" x14ac:dyDescent="0.25">
      <c r="A110" s="42" t="s">
        <v>1611</v>
      </c>
      <c r="B110" s="64" t="s">
        <v>1636</v>
      </c>
      <c r="C110" s="64" t="s">
        <v>1637</v>
      </c>
      <c r="D110" s="66" t="s">
        <v>128</v>
      </c>
    </row>
    <row r="111" spans="1:14" ht="30" hidden="1" outlineLevel="1" x14ac:dyDescent="0.25">
      <c r="A111" s="42" t="s">
        <v>1612</v>
      </c>
      <c r="B111" s="64" t="s">
        <v>1638</v>
      </c>
      <c r="C111" s="64" t="s">
        <v>1639</v>
      </c>
      <c r="D111" s="66" t="s">
        <v>128</v>
      </c>
    </row>
    <row r="112" spans="1:14" ht="45" hidden="1" outlineLevel="1" x14ac:dyDescent="0.25">
      <c r="A112" s="42" t="s">
        <v>1613</v>
      </c>
      <c r="B112" s="64" t="s">
        <v>1640</v>
      </c>
      <c r="C112" s="64" t="s">
        <v>1641</v>
      </c>
      <c r="D112" s="66" t="s">
        <v>128</v>
      </c>
    </row>
    <row r="113" spans="1:4" ht="30" hidden="1" outlineLevel="1" x14ac:dyDescent="0.25">
      <c r="A113" s="42" t="s">
        <v>1614</v>
      </c>
      <c r="B113" s="64" t="s">
        <v>1642</v>
      </c>
      <c r="C113" s="64" t="s">
        <v>1643</v>
      </c>
      <c r="D113" s="66" t="s">
        <v>128</v>
      </c>
    </row>
    <row r="114" spans="1:4" ht="45" hidden="1" outlineLevel="1" x14ac:dyDescent="0.25">
      <c r="A114" s="42" t="s">
        <v>1615</v>
      </c>
      <c r="B114" s="64" t="s">
        <v>1644</v>
      </c>
      <c r="C114" s="64" t="s">
        <v>1645</v>
      </c>
      <c r="D114" s="66" t="s">
        <v>128</v>
      </c>
    </row>
    <row r="115" spans="1:4" ht="30" hidden="1" outlineLevel="1" x14ac:dyDescent="0.25">
      <c r="A115" s="42" t="s">
        <v>1616</v>
      </c>
      <c r="B115" s="64" t="s">
        <v>1646</v>
      </c>
      <c r="C115" s="64" t="s">
        <v>1647</v>
      </c>
      <c r="D115" s="66" t="s">
        <v>128</v>
      </c>
    </row>
    <row r="116" spans="1:4" ht="45" hidden="1" outlineLevel="1" x14ac:dyDescent="0.25">
      <c r="A116" s="42" t="s">
        <v>1617</v>
      </c>
      <c r="B116" s="64" t="s">
        <v>1648</v>
      </c>
      <c r="C116" s="64" t="s">
        <v>1649</v>
      </c>
      <c r="D116" s="66" t="s">
        <v>128</v>
      </c>
    </row>
    <row r="117" spans="1:4" ht="30" hidden="1" outlineLevel="1" x14ac:dyDescent="0.25">
      <c r="A117" s="42" t="s">
        <v>1618</v>
      </c>
      <c r="B117" s="64" t="s">
        <v>1650</v>
      </c>
      <c r="C117" s="64" t="s">
        <v>1651</v>
      </c>
      <c r="D117" s="66" t="s">
        <v>128</v>
      </c>
    </row>
    <row r="118" spans="1:4" ht="30" hidden="1" outlineLevel="1" x14ac:dyDescent="0.25">
      <c r="A118" s="42" t="s">
        <v>1619</v>
      </c>
      <c r="B118" s="64" t="s">
        <v>1652</v>
      </c>
      <c r="C118" s="64" t="s">
        <v>1653</v>
      </c>
      <c r="D118" s="66" t="s">
        <v>128</v>
      </c>
    </row>
    <row r="119" spans="1:4" ht="30" hidden="1" outlineLevel="1" x14ac:dyDescent="0.25">
      <c r="A119" s="42" t="s">
        <v>1620</v>
      </c>
      <c r="B119" s="64" t="s">
        <v>1654</v>
      </c>
      <c r="C119" s="64" t="s">
        <v>1655</v>
      </c>
      <c r="D119" s="66" t="s">
        <v>128</v>
      </c>
    </row>
    <row r="120" spans="1:4" ht="30" hidden="1" outlineLevel="1" x14ac:dyDescent="0.25">
      <c r="A120" s="42" t="s">
        <v>1621</v>
      </c>
      <c r="B120" s="64" t="s">
        <v>1658</v>
      </c>
      <c r="C120" s="64" t="s">
        <v>1659</v>
      </c>
      <c r="D120" s="66" t="s">
        <v>128</v>
      </c>
    </row>
    <row r="121" spans="1:4" ht="60" hidden="1" outlineLevel="1" x14ac:dyDescent="0.25">
      <c r="A121" s="42" t="s">
        <v>1622</v>
      </c>
      <c r="B121" s="64" t="s">
        <v>1656</v>
      </c>
      <c r="C121" s="64" t="s">
        <v>1657</v>
      </c>
      <c r="D121" s="66" t="s">
        <v>128</v>
      </c>
    </row>
    <row r="122" spans="1:4" hidden="1" outlineLevel="1" x14ac:dyDescent="0.25">
      <c r="A122" s="42" t="s">
        <v>1623</v>
      </c>
      <c r="B122" s="64" t="s">
        <v>1660</v>
      </c>
      <c r="C122" s="64" t="s">
        <v>1661</v>
      </c>
      <c r="D122" s="66" t="s">
        <v>128</v>
      </c>
    </row>
    <row r="123" spans="1:4" ht="45" hidden="1" outlineLevel="1" x14ac:dyDescent="0.25">
      <c r="A123" s="42" t="s">
        <v>1624</v>
      </c>
      <c r="B123" s="64" t="s">
        <v>1662</v>
      </c>
      <c r="C123" s="64" t="s">
        <v>1663</v>
      </c>
      <c r="D123" s="66" t="s">
        <v>128</v>
      </c>
    </row>
    <row r="124" spans="1:4" ht="30" hidden="1" outlineLevel="1" x14ac:dyDescent="0.25">
      <c r="A124" s="42" t="s">
        <v>1625</v>
      </c>
      <c r="B124" s="64" t="s">
        <v>1664</v>
      </c>
      <c r="C124" s="64" t="s">
        <v>1665</v>
      </c>
      <c r="D124" s="66" t="s">
        <v>128</v>
      </c>
    </row>
    <row r="125" spans="1:4" ht="30" hidden="1" outlineLevel="1" x14ac:dyDescent="0.25">
      <c r="A125" s="42" t="s">
        <v>1626</v>
      </c>
      <c r="B125" s="64" t="s">
        <v>1668</v>
      </c>
      <c r="C125" s="64" t="s">
        <v>1669</v>
      </c>
      <c r="D125" s="66" t="s">
        <v>128</v>
      </c>
    </row>
    <row r="126" spans="1:4" ht="30" hidden="1" outlineLevel="1" x14ac:dyDescent="0.25">
      <c r="A126" s="42" t="s">
        <v>1627</v>
      </c>
      <c r="B126" s="64" t="s">
        <v>1666</v>
      </c>
      <c r="C126" s="64" t="s">
        <v>1667</v>
      </c>
      <c r="D126" s="66" t="s">
        <v>128</v>
      </c>
    </row>
    <row r="127" spans="1:4" hidden="1" outlineLevel="1" x14ac:dyDescent="0.25">
      <c r="A127" s="42" t="s">
        <v>1628</v>
      </c>
      <c r="B127" s="64" t="s">
        <v>1670</v>
      </c>
      <c r="C127" s="64" t="s">
        <v>1671</v>
      </c>
      <c r="D127" s="66" t="s">
        <v>128</v>
      </c>
    </row>
    <row r="128" spans="1:4" ht="30" hidden="1" outlineLevel="1" x14ac:dyDescent="0.25">
      <c r="A128" s="42" t="s">
        <v>1629</v>
      </c>
      <c r="B128" s="64" t="s">
        <v>1672</v>
      </c>
      <c r="C128" s="64" t="s">
        <v>1673</v>
      </c>
      <c r="D128" s="66" t="s">
        <v>128</v>
      </c>
    </row>
    <row r="129" spans="1:14" ht="45" hidden="1" outlineLevel="1" x14ac:dyDescent="0.25">
      <c r="A129" s="42" t="s">
        <v>1630</v>
      </c>
      <c r="B129" s="64" t="s">
        <v>1674</v>
      </c>
      <c r="C129" s="64" t="s">
        <v>1675</v>
      </c>
      <c r="D129" s="66" t="s">
        <v>128</v>
      </c>
    </row>
    <row r="130" spans="1:14" collapsed="1" x14ac:dyDescent="0.25">
      <c r="A130" s="208" t="s">
        <v>2306</v>
      </c>
      <c r="B130" s="208"/>
      <c r="C130" s="208"/>
      <c r="D130" s="208"/>
      <c r="E130" s="56"/>
      <c r="F130" s="56"/>
      <c r="G130" s="56"/>
      <c r="H130" s="56"/>
      <c r="I130" s="56"/>
      <c r="J130" s="56"/>
      <c r="K130" s="56"/>
      <c r="L130" s="56"/>
      <c r="M130" s="56"/>
      <c r="N130" s="56"/>
    </row>
    <row r="131" spans="1:14" ht="45" hidden="1" outlineLevel="1" x14ac:dyDescent="0.25">
      <c r="A131" s="42" t="s">
        <v>1677</v>
      </c>
      <c r="B131" s="64" t="s">
        <v>1676</v>
      </c>
      <c r="C131" s="64" t="s">
        <v>1683</v>
      </c>
      <c r="D131" s="66" t="s">
        <v>142</v>
      </c>
    </row>
    <row r="132" spans="1:14" ht="45" hidden="1" outlineLevel="1" x14ac:dyDescent="0.25">
      <c r="A132" s="42" t="s">
        <v>1678</v>
      </c>
      <c r="B132" s="67" t="s">
        <v>1684</v>
      </c>
      <c r="C132" s="67" t="s">
        <v>1685</v>
      </c>
      <c r="D132" s="66" t="s">
        <v>142</v>
      </c>
    </row>
    <row r="133" spans="1:14" hidden="1" outlineLevel="1" x14ac:dyDescent="0.25">
      <c r="A133" s="42" t="s">
        <v>1679</v>
      </c>
      <c r="B133" s="67" t="s">
        <v>1686</v>
      </c>
      <c r="C133" s="67" t="s">
        <v>1687</v>
      </c>
      <c r="D133" s="66" t="s">
        <v>142</v>
      </c>
    </row>
    <row r="134" spans="1:14" hidden="1" outlineLevel="1" x14ac:dyDescent="0.25">
      <c r="A134" s="42" t="s">
        <v>1680</v>
      </c>
      <c r="B134" s="67" t="s">
        <v>1688</v>
      </c>
      <c r="C134" s="67" t="s">
        <v>1661</v>
      </c>
      <c r="D134" s="66" t="s">
        <v>142</v>
      </c>
    </row>
    <row r="135" spans="1:14" ht="30" hidden="1" outlineLevel="1" x14ac:dyDescent="0.25">
      <c r="A135" s="42" t="s">
        <v>1681</v>
      </c>
      <c r="B135" s="67" t="s">
        <v>1689</v>
      </c>
      <c r="C135" s="67" t="s">
        <v>1690</v>
      </c>
      <c r="D135" s="66" t="s">
        <v>142</v>
      </c>
    </row>
    <row r="136" spans="1:14" ht="30" hidden="1" outlineLevel="1" x14ac:dyDescent="0.25">
      <c r="A136" s="42" t="s">
        <v>1682</v>
      </c>
      <c r="B136" s="67" t="s">
        <v>1691</v>
      </c>
      <c r="C136" s="67" t="s">
        <v>1692</v>
      </c>
      <c r="D136" s="66" t="s">
        <v>142</v>
      </c>
    </row>
    <row r="137" spans="1:14" ht="14.25" customHeight="1" collapsed="1" x14ac:dyDescent="0.25">
      <c r="A137" s="210" t="s">
        <v>2307</v>
      </c>
      <c r="B137" s="211"/>
      <c r="C137" s="211"/>
      <c r="D137" s="212"/>
      <c r="E137" s="56"/>
      <c r="F137" s="56"/>
      <c r="G137" s="56"/>
      <c r="H137" s="56"/>
      <c r="I137" s="56"/>
      <c r="J137" s="56"/>
      <c r="K137" s="56"/>
      <c r="L137" s="56"/>
      <c r="M137" s="56"/>
      <c r="N137" s="56"/>
    </row>
    <row r="138" spans="1:14" x14ac:dyDescent="0.25">
      <c r="A138" s="203" t="s">
        <v>2308</v>
      </c>
      <c r="B138" s="203"/>
      <c r="C138" s="203"/>
      <c r="D138" s="203"/>
    </row>
    <row r="139" spans="1:14" ht="30" hidden="1" outlineLevel="1" x14ac:dyDescent="0.25">
      <c r="A139" s="42" t="s">
        <v>1694</v>
      </c>
      <c r="B139" s="64" t="s">
        <v>1693</v>
      </c>
      <c r="C139" s="64" t="s">
        <v>1695</v>
      </c>
      <c r="D139" s="63" t="s">
        <v>97</v>
      </c>
    </row>
    <row r="140" spans="1:14" collapsed="1" x14ac:dyDescent="0.25">
      <c r="A140" s="203" t="s">
        <v>2309</v>
      </c>
      <c r="B140" s="203"/>
      <c r="C140" s="203"/>
      <c r="D140" s="203"/>
    </row>
    <row r="141" spans="1:14" ht="30" hidden="1" outlineLevel="1" x14ac:dyDescent="0.25">
      <c r="A141" s="42" t="s">
        <v>1697</v>
      </c>
      <c r="B141" s="64" t="s">
        <v>1696</v>
      </c>
      <c r="C141" s="64" t="s">
        <v>1695</v>
      </c>
      <c r="D141" s="66" t="s">
        <v>97</v>
      </c>
    </row>
    <row r="142" spans="1:14" ht="30" hidden="1" outlineLevel="1" x14ac:dyDescent="0.25">
      <c r="A142" s="42" t="s">
        <v>1698</v>
      </c>
      <c r="B142" s="64" t="s">
        <v>1699</v>
      </c>
      <c r="C142" s="64" t="s">
        <v>1695</v>
      </c>
      <c r="D142" s="66" t="s">
        <v>97</v>
      </c>
    </row>
    <row r="143" spans="1:14" collapsed="1" x14ac:dyDescent="0.25">
      <c r="A143" s="203" t="s">
        <v>2310</v>
      </c>
      <c r="B143" s="203"/>
      <c r="C143" s="203"/>
      <c r="D143" s="203"/>
    </row>
    <row r="144" spans="1:14" ht="30" hidden="1" outlineLevel="1" x14ac:dyDescent="0.25">
      <c r="A144" s="42" t="s">
        <v>1701</v>
      </c>
      <c r="B144" s="64" t="s">
        <v>1700</v>
      </c>
      <c r="C144" s="64" t="s">
        <v>1695</v>
      </c>
      <c r="D144" s="66" t="s">
        <v>97</v>
      </c>
    </row>
    <row r="145" spans="1:14" hidden="1" outlineLevel="1" x14ac:dyDescent="0.25">
      <c r="A145" s="42" t="s">
        <v>1702</v>
      </c>
      <c r="B145" s="64" t="s">
        <v>1704</v>
      </c>
      <c r="C145" s="64" t="s">
        <v>1705</v>
      </c>
      <c r="D145" s="66" t="s">
        <v>97</v>
      </c>
    </row>
    <row r="146" spans="1:14" ht="30" hidden="1" outlineLevel="1" x14ac:dyDescent="0.25">
      <c r="A146" s="42" t="s">
        <v>1703</v>
      </c>
      <c r="B146" s="64" t="s">
        <v>1706</v>
      </c>
      <c r="C146" s="64" t="s">
        <v>1695</v>
      </c>
      <c r="D146" s="66" t="s">
        <v>97</v>
      </c>
    </row>
    <row r="147" spans="1:14" collapsed="1" x14ac:dyDescent="0.25">
      <c r="A147" s="208" t="s">
        <v>2311</v>
      </c>
      <c r="B147" s="208"/>
      <c r="C147" s="208"/>
      <c r="D147" s="208"/>
      <c r="E147" s="56"/>
      <c r="F147" s="56"/>
      <c r="G147" s="56"/>
      <c r="H147" s="56"/>
      <c r="I147" s="56"/>
      <c r="J147" s="56"/>
      <c r="K147" s="56"/>
      <c r="L147" s="56"/>
      <c r="M147" s="56"/>
      <c r="N147" s="56"/>
    </row>
    <row r="148" spans="1:14" x14ac:dyDescent="0.25">
      <c r="A148" s="203" t="s">
        <v>2312</v>
      </c>
      <c r="B148" s="203"/>
      <c r="C148" s="203"/>
      <c r="D148" s="203"/>
    </row>
    <row r="149" spans="1:14" ht="30" hidden="1" outlineLevel="1" x14ac:dyDescent="0.25">
      <c r="A149" s="42" t="s">
        <v>1707</v>
      </c>
      <c r="B149" s="64" t="s">
        <v>1716</v>
      </c>
      <c r="C149" s="64" t="s">
        <v>1717</v>
      </c>
      <c r="D149" s="66" t="s">
        <v>2458</v>
      </c>
    </row>
    <row r="150" spans="1:14" ht="45" hidden="1" outlineLevel="1" x14ac:dyDescent="0.25">
      <c r="A150" s="42" t="s">
        <v>1708</v>
      </c>
      <c r="B150" s="64" t="s">
        <v>1718</v>
      </c>
      <c r="C150" s="64" t="s">
        <v>1719</v>
      </c>
      <c r="D150" s="66" t="s">
        <v>2458</v>
      </c>
    </row>
    <row r="151" spans="1:14" ht="45" hidden="1" outlineLevel="1" x14ac:dyDescent="0.25">
      <c r="A151" s="42" t="s">
        <v>1709</v>
      </c>
      <c r="B151" s="64" t="s">
        <v>1720</v>
      </c>
      <c r="C151" s="64" t="s">
        <v>1721</v>
      </c>
      <c r="D151" s="66" t="s">
        <v>2458</v>
      </c>
    </row>
    <row r="152" spans="1:14" ht="45" hidden="1" outlineLevel="1" x14ac:dyDescent="0.25">
      <c r="A152" s="42" t="s">
        <v>1710</v>
      </c>
      <c r="B152" s="64" t="s">
        <v>1722</v>
      </c>
      <c r="C152" s="64" t="s">
        <v>1721</v>
      </c>
      <c r="D152" s="66" t="s">
        <v>2458</v>
      </c>
    </row>
    <row r="153" spans="1:14" ht="45" hidden="1" outlineLevel="1" x14ac:dyDescent="0.25">
      <c r="A153" s="42" t="s">
        <v>1711</v>
      </c>
      <c r="B153" s="64" t="s">
        <v>1723</v>
      </c>
      <c r="C153" s="64" t="s">
        <v>1721</v>
      </c>
      <c r="D153" s="66" t="s">
        <v>2458</v>
      </c>
    </row>
    <row r="154" spans="1:14" ht="45" hidden="1" outlineLevel="1" x14ac:dyDescent="0.25">
      <c r="A154" s="42" t="s">
        <v>1712</v>
      </c>
      <c r="B154" s="64" t="s">
        <v>1724</v>
      </c>
      <c r="C154" s="64" t="s">
        <v>1721</v>
      </c>
      <c r="D154" s="66" t="s">
        <v>2458</v>
      </c>
    </row>
    <row r="155" spans="1:14" ht="45" hidden="1" outlineLevel="1" x14ac:dyDescent="0.25">
      <c r="A155" s="42" t="s">
        <v>1713</v>
      </c>
      <c r="B155" s="64" t="s">
        <v>1725</v>
      </c>
      <c r="C155" s="64" t="s">
        <v>1721</v>
      </c>
      <c r="D155" s="66" t="s">
        <v>2458</v>
      </c>
    </row>
    <row r="156" spans="1:14" ht="45" hidden="1" outlineLevel="1" x14ac:dyDescent="0.25">
      <c r="A156" s="42" t="s">
        <v>1714</v>
      </c>
      <c r="B156" s="64" t="s">
        <v>1726</v>
      </c>
      <c r="C156" s="64" t="s">
        <v>1721</v>
      </c>
      <c r="D156" s="66" t="s">
        <v>2458</v>
      </c>
    </row>
    <row r="157" spans="1:14" ht="45" hidden="1" outlineLevel="1" x14ac:dyDescent="0.25">
      <c r="A157" s="42" t="s">
        <v>1715</v>
      </c>
      <c r="B157" s="64" t="s">
        <v>1727</v>
      </c>
      <c r="C157" s="64" t="s">
        <v>1728</v>
      </c>
      <c r="D157" s="66" t="s">
        <v>2458</v>
      </c>
    </row>
    <row r="158" spans="1:14" collapsed="1" x14ac:dyDescent="0.25">
      <c r="A158" s="203" t="s">
        <v>2313</v>
      </c>
      <c r="B158" s="203"/>
      <c r="C158" s="203"/>
      <c r="D158" s="203"/>
    </row>
    <row r="159" spans="1:14" ht="45" hidden="1" outlineLevel="1" x14ac:dyDescent="0.25">
      <c r="A159" s="42" t="s">
        <v>1731</v>
      </c>
      <c r="B159" s="64" t="s">
        <v>1729</v>
      </c>
      <c r="C159" s="64" t="s">
        <v>1730</v>
      </c>
      <c r="D159" s="66" t="s">
        <v>2458</v>
      </c>
    </row>
    <row r="160" spans="1:14" collapsed="1" x14ac:dyDescent="0.25">
      <c r="A160" s="209" t="s">
        <v>2314</v>
      </c>
      <c r="B160" s="209"/>
      <c r="C160" s="209"/>
      <c r="D160" s="209"/>
    </row>
    <row r="161" spans="1:14" x14ac:dyDescent="0.25">
      <c r="A161" s="208" t="s">
        <v>2315</v>
      </c>
      <c r="B161" s="208"/>
      <c r="C161" s="208"/>
      <c r="D161" s="208"/>
      <c r="E161" s="56"/>
      <c r="F161" s="56"/>
      <c r="G161" s="56"/>
      <c r="H161" s="56"/>
      <c r="I161" s="56"/>
      <c r="J161" s="56"/>
      <c r="K161" s="56"/>
      <c r="L161" s="56"/>
      <c r="M161" s="56"/>
      <c r="N161" s="56"/>
    </row>
    <row r="162" spans="1:14" ht="45" hidden="1" outlineLevel="1" x14ac:dyDescent="0.25">
      <c r="A162" s="42" t="s">
        <v>773</v>
      </c>
      <c r="B162" s="64" t="s">
        <v>1732</v>
      </c>
      <c r="C162" s="64" t="s">
        <v>1733</v>
      </c>
      <c r="D162" s="66" t="s">
        <v>2458</v>
      </c>
    </row>
    <row r="163" spans="1:14" hidden="1" outlineLevel="1" x14ac:dyDescent="0.25">
      <c r="A163" s="42" t="s">
        <v>777</v>
      </c>
      <c r="B163" s="64" t="s">
        <v>1734</v>
      </c>
      <c r="C163" s="64" t="s">
        <v>1735</v>
      </c>
      <c r="D163" s="66" t="s">
        <v>2458</v>
      </c>
    </row>
    <row r="164" spans="1:14" hidden="1" outlineLevel="1" x14ac:dyDescent="0.25">
      <c r="A164" s="42" t="s">
        <v>781</v>
      </c>
      <c r="B164" s="64" t="s">
        <v>1736</v>
      </c>
      <c r="C164" s="64"/>
      <c r="D164" s="66" t="s">
        <v>2458</v>
      </c>
    </row>
    <row r="165" spans="1:14" collapsed="1" x14ac:dyDescent="0.25">
      <c r="A165" s="208" t="s">
        <v>2316</v>
      </c>
      <c r="B165" s="208"/>
      <c r="C165" s="208"/>
      <c r="D165" s="208"/>
      <c r="E165" s="56"/>
      <c r="F165" s="56"/>
      <c r="G165" s="56"/>
      <c r="H165" s="56"/>
      <c r="I165" s="56"/>
      <c r="J165" s="56"/>
      <c r="K165" s="56"/>
      <c r="L165" s="56"/>
      <c r="M165" s="56"/>
      <c r="N165" s="56"/>
    </row>
    <row r="166" spans="1:14" hidden="1" outlineLevel="1" x14ac:dyDescent="0.25">
      <c r="A166" s="42" t="s">
        <v>1739</v>
      </c>
      <c r="B166" s="64" t="s">
        <v>1737</v>
      </c>
      <c r="C166" s="64" t="s">
        <v>1738</v>
      </c>
      <c r="D166" s="66" t="s">
        <v>2458</v>
      </c>
    </row>
    <row r="167" spans="1:14" hidden="1" outlineLevel="1" x14ac:dyDescent="0.25">
      <c r="A167" s="42" t="s">
        <v>221</v>
      </c>
      <c r="B167" s="64" t="s">
        <v>1744</v>
      </c>
      <c r="C167" s="64" t="s">
        <v>1738</v>
      </c>
      <c r="D167" s="66" t="s">
        <v>2458</v>
      </c>
    </row>
    <row r="168" spans="1:14" hidden="1" outlineLevel="1" x14ac:dyDescent="0.25">
      <c r="A168" s="42" t="s">
        <v>1740</v>
      </c>
      <c r="B168" s="64" t="s">
        <v>1745</v>
      </c>
      <c r="C168" s="64" t="s">
        <v>1738</v>
      </c>
      <c r="D168" s="66" t="s">
        <v>2458</v>
      </c>
    </row>
    <row r="169" spans="1:14" hidden="1" outlineLevel="1" x14ac:dyDescent="0.25">
      <c r="A169" s="42" t="s">
        <v>1741</v>
      </c>
      <c r="B169" s="64" t="s">
        <v>1746</v>
      </c>
      <c r="C169" s="64" t="s">
        <v>1738</v>
      </c>
      <c r="D169" s="66" t="s">
        <v>2458</v>
      </c>
    </row>
    <row r="170" spans="1:14" hidden="1" outlineLevel="1" x14ac:dyDescent="0.25">
      <c r="A170" s="42" t="s">
        <v>1742</v>
      </c>
      <c r="B170" s="64" t="s">
        <v>1747</v>
      </c>
      <c r="C170" s="64" t="s">
        <v>1738</v>
      </c>
      <c r="D170" s="66" t="s">
        <v>2458</v>
      </c>
    </row>
    <row r="171" spans="1:14" hidden="1" outlineLevel="1" x14ac:dyDescent="0.25">
      <c r="A171" s="42" t="s">
        <v>1743</v>
      </c>
      <c r="B171" s="64" t="s">
        <v>1748</v>
      </c>
      <c r="C171" s="64" t="s">
        <v>1738</v>
      </c>
      <c r="D171" s="66" t="s">
        <v>2458</v>
      </c>
    </row>
    <row r="172" spans="1:14" collapsed="1" x14ac:dyDescent="0.25">
      <c r="A172" s="208" t="s">
        <v>2317</v>
      </c>
      <c r="B172" s="208"/>
      <c r="C172" s="208"/>
      <c r="D172" s="208"/>
      <c r="E172" s="56"/>
      <c r="F172" s="56"/>
      <c r="G172" s="56"/>
      <c r="H172" s="56"/>
      <c r="I172" s="56"/>
      <c r="J172" s="56"/>
      <c r="K172" s="56"/>
      <c r="L172" s="56"/>
      <c r="M172" s="56"/>
      <c r="N172" s="56"/>
    </row>
    <row r="173" spans="1:14" x14ac:dyDescent="0.25">
      <c r="A173" s="203" t="s">
        <v>2318</v>
      </c>
      <c r="B173" s="203"/>
      <c r="C173" s="203"/>
      <c r="D173" s="203"/>
    </row>
    <row r="174" spans="1:14" ht="30" hidden="1" outlineLevel="1" x14ac:dyDescent="0.25">
      <c r="A174" s="42" t="s">
        <v>1751</v>
      </c>
      <c r="B174" s="64" t="s">
        <v>1749</v>
      </c>
      <c r="C174" s="64" t="s">
        <v>1750</v>
      </c>
      <c r="D174" s="66" t="s">
        <v>2458</v>
      </c>
    </row>
    <row r="175" spans="1:14" ht="30" hidden="1" outlineLevel="1" x14ac:dyDescent="0.25">
      <c r="A175" s="42" t="s">
        <v>1752</v>
      </c>
      <c r="B175" s="64" t="s">
        <v>1769</v>
      </c>
      <c r="C175" s="64" t="s">
        <v>1750</v>
      </c>
      <c r="D175" s="66" t="s">
        <v>2458</v>
      </c>
    </row>
    <row r="176" spans="1:14" ht="30" hidden="1" outlineLevel="1" x14ac:dyDescent="0.25">
      <c r="A176" s="42" t="s">
        <v>1753</v>
      </c>
      <c r="B176" s="64" t="s">
        <v>1770</v>
      </c>
      <c r="C176" s="64" t="s">
        <v>1750</v>
      </c>
      <c r="D176" s="66" t="s">
        <v>2458</v>
      </c>
    </row>
    <row r="177" spans="1:4" ht="30" hidden="1" outlineLevel="1" x14ac:dyDescent="0.25">
      <c r="A177" s="42" t="s">
        <v>1754</v>
      </c>
      <c r="B177" s="64" t="s">
        <v>1771</v>
      </c>
      <c r="C177" s="64" t="s">
        <v>1772</v>
      </c>
      <c r="D177" s="66" t="s">
        <v>2458</v>
      </c>
    </row>
    <row r="178" spans="1:4" ht="30" hidden="1" outlineLevel="1" x14ac:dyDescent="0.25">
      <c r="A178" s="42" t="s">
        <v>1755</v>
      </c>
      <c r="B178" s="64" t="s">
        <v>1773</v>
      </c>
      <c r="C178" s="64" t="s">
        <v>1772</v>
      </c>
      <c r="D178" s="66" t="s">
        <v>2458</v>
      </c>
    </row>
    <row r="179" spans="1:4" ht="30" hidden="1" outlineLevel="1" x14ac:dyDescent="0.25">
      <c r="A179" s="42" t="s">
        <v>1756</v>
      </c>
      <c r="B179" s="64" t="s">
        <v>1774</v>
      </c>
      <c r="C179" s="64" t="s">
        <v>1775</v>
      </c>
      <c r="D179" s="66" t="s">
        <v>2458</v>
      </c>
    </row>
    <row r="180" spans="1:4" ht="30" hidden="1" outlineLevel="1" x14ac:dyDescent="0.25">
      <c r="A180" s="42" t="s">
        <v>1757</v>
      </c>
      <c r="B180" s="64" t="s">
        <v>1776</v>
      </c>
      <c r="C180" s="64" t="s">
        <v>1777</v>
      </c>
      <c r="D180" s="66" t="s">
        <v>2458</v>
      </c>
    </row>
    <row r="181" spans="1:4" ht="30" hidden="1" outlineLevel="1" x14ac:dyDescent="0.25">
      <c r="A181" s="42" t="s">
        <v>1758</v>
      </c>
      <c r="B181" s="64" t="s">
        <v>1778</v>
      </c>
      <c r="C181" s="64" t="s">
        <v>1779</v>
      </c>
      <c r="D181" s="66" t="s">
        <v>2458</v>
      </c>
    </row>
    <row r="182" spans="1:4" ht="30" hidden="1" outlineLevel="1" x14ac:dyDescent="0.25">
      <c r="A182" s="42" t="s">
        <v>1759</v>
      </c>
      <c r="B182" s="64" t="s">
        <v>1780</v>
      </c>
      <c r="C182" s="64" t="s">
        <v>1779</v>
      </c>
      <c r="D182" s="66" t="s">
        <v>2458</v>
      </c>
    </row>
    <row r="183" spans="1:4" ht="30" hidden="1" outlineLevel="1" x14ac:dyDescent="0.25">
      <c r="A183" s="42" t="s">
        <v>1760</v>
      </c>
      <c r="B183" s="64" t="s">
        <v>1781</v>
      </c>
      <c r="C183" s="64" t="s">
        <v>1782</v>
      </c>
      <c r="D183" s="66" t="s">
        <v>2458</v>
      </c>
    </row>
    <row r="184" spans="1:4" ht="30" hidden="1" outlineLevel="1" x14ac:dyDescent="0.25">
      <c r="A184" s="42" t="s">
        <v>1761</v>
      </c>
      <c r="B184" s="64" t="s">
        <v>1783</v>
      </c>
      <c r="C184" s="64" t="s">
        <v>1784</v>
      </c>
      <c r="D184" s="66" t="s">
        <v>2458</v>
      </c>
    </row>
    <row r="185" spans="1:4" ht="30" hidden="1" outlineLevel="1" x14ac:dyDescent="0.25">
      <c r="A185" s="42" t="s">
        <v>1762</v>
      </c>
      <c r="B185" s="64" t="s">
        <v>1785</v>
      </c>
      <c r="C185" s="64" t="s">
        <v>1786</v>
      </c>
      <c r="D185" s="66" t="s">
        <v>2458</v>
      </c>
    </row>
    <row r="186" spans="1:4" ht="30" hidden="1" outlineLevel="1" x14ac:dyDescent="0.25">
      <c r="A186" s="42" t="s">
        <v>1763</v>
      </c>
      <c r="B186" s="64" t="s">
        <v>1788</v>
      </c>
      <c r="C186" s="64" t="s">
        <v>1789</v>
      </c>
      <c r="D186" s="66" t="s">
        <v>2458</v>
      </c>
    </row>
    <row r="187" spans="1:4" ht="45" hidden="1" outlineLevel="1" x14ac:dyDescent="0.25">
      <c r="A187" s="42" t="s">
        <v>1764</v>
      </c>
      <c r="B187" s="64" t="s">
        <v>1787</v>
      </c>
      <c r="C187" s="64" t="s">
        <v>1790</v>
      </c>
      <c r="D187" s="66" t="s">
        <v>2458</v>
      </c>
    </row>
    <row r="188" spans="1:4" ht="45" hidden="1" outlineLevel="1" x14ac:dyDescent="0.25">
      <c r="A188" s="42" t="s">
        <v>1765</v>
      </c>
      <c r="B188" s="64" t="s">
        <v>1791</v>
      </c>
      <c r="C188" s="64" t="s">
        <v>1792</v>
      </c>
      <c r="D188" s="66" t="s">
        <v>2458</v>
      </c>
    </row>
    <row r="189" spans="1:4" ht="30" hidden="1" outlineLevel="1" x14ac:dyDescent="0.25">
      <c r="A189" s="42" t="s">
        <v>1766</v>
      </c>
      <c r="B189" s="64" t="s">
        <v>1793</v>
      </c>
      <c r="C189" s="64" t="s">
        <v>1794</v>
      </c>
      <c r="D189" s="66" t="s">
        <v>2458</v>
      </c>
    </row>
    <row r="190" spans="1:4" ht="30" hidden="1" outlineLevel="1" x14ac:dyDescent="0.25">
      <c r="A190" s="42" t="s">
        <v>1767</v>
      </c>
      <c r="B190" s="64" t="s">
        <v>1795</v>
      </c>
      <c r="C190" s="64" t="s">
        <v>1796</v>
      </c>
      <c r="D190" s="66" t="s">
        <v>2458</v>
      </c>
    </row>
    <row r="191" spans="1:4" ht="30" hidden="1" outlineLevel="1" x14ac:dyDescent="0.25">
      <c r="A191" s="42" t="s">
        <v>1768</v>
      </c>
      <c r="B191" s="64" t="s">
        <v>1797</v>
      </c>
      <c r="C191" s="64" t="s">
        <v>1798</v>
      </c>
      <c r="D191" s="66" t="s">
        <v>2458</v>
      </c>
    </row>
    <row r="192" spans="1:4" collapsed="1" x14ac:dyDescent="0.25">
      <c r="A192" s="203" t="s">
        <v>2319</v>
      </c>
      <c r="B192" s="203"/>
      <c r="C192" s="203"/>
      <c r="D192" s="203"/>
    </row>
    <row r="193" spans="1:14" ht="30" hidden="1" outlineLevel="1" x14ac:dyDescent="0.25">
      <c r="A193" s="42" t="s">
        <v>1800</v>
      </c>
      <c r="B193" s="64" t="s">
        <v>1799</v>
      </c>
      <c r="C193" s="64" t="s">
        <v>1750</v>
      </c>
      <c r="D193" s="66" t="s">
        <v>2458</v>
      </c>
    </row>
    <row r="194" spans="1:14" ht="30" hidden="1" outlineLevel="1" x14ac:dyDescent="0.25">
      <c r="A194" s="42" t="s">
        <v>1801</v>
      </c>
      <c r="B194" s="64" t="s">
        <v>1808</v>
      </c>
      <c r="C194" s="64" t="s">
        <v>1750</v>
      </c>
      <c r="D194" s="66" t="s">
        <v>2458</v>
      </c>
    </row>
    <row r="195" spans="1:14" ht="30" hidden="1" outlineLevel="1" x14ac:dyDescent="0.25">
      <c r="A195" s="42" t="s">
        <v>1802</v>
      </c>
      <c r="B195" s="64" t="s">
        <v>1809</v>
      </c>
      <c r="C195" s="64" t="s">
        <v>1779</v>
      </c>
      <c r="D195" s="66" t="s">
        <v>2458</v>
      </c>
    </row>
    <row r="196" spans="1:14" ht="30" hidden="1" outlineLevel="1" x14ac:dyDescent="0.25">
      <c r="A196" s="42" t="s">
        <v>1803</v>
      </c>
      <c r="B196" s="64" t="s">
        <v>1810</v>
      </c>
      <c r="C196" s="64" t="s">
        <v>1779</v>
      </c>
      <c r="D196" s="66" t="s">
        <v>2458</v>
      </c>
    </row>
    <row r="197" spans="1:14" ht="45" hidden="1" outlineLevel="1" x14ac:dyDescent="0.25">
      <c r="A197" s="42" t="s">
        <v>1804</v>
      </c>
      <c r="B197" s="64" t="s">
        <v>1811</v>
      </c>
      <c r="C197" s="64" t="s">
        <v>1812</v>
      </c>
      <c r="D197" s="66" t="s">
        <v>2458</v>
      </c>
    </row>
    <row r="198" spans="1:14" ht="45" hidden="1" outlineLevel="1" x14ac:dyDescent="0.25">
      <c r="A198" s="42" t="s">
        <v>1805</v>
      </c>
      <c r="B198" s="64" t="s">
        <v>1813</v>
      </c>
      <c r="C198" s="64" t="s">
        <v>1814</v>
      </c>
      <c r="D198" s="66" t="s">
        <v>2458</v>
      </c>
    </row>
    <row r="199" spans="1:14" ht="30" hidden="1" outlineLevel="1" x14ac:dyDescent="0.25">
      <c r="A199" s="42" t="s">
        <v>1806</v>
      </c>
      <c r="B199" s="64" t="s">
        <v>1815</v>
      </c>
      <c r="C199" s="64" t="s">
        <v>1816</v>
      </c>
      <c r="D199" s="66" t="s">
        <v>2458</v>
      </c>
    </row>
    <row r="200" spans="1:14" ht="30" hidden="1" outlineLevel="1" x14ac:dyDescent="0.25">
      <c r="A200" s="42" t="s">
        <v>1807</v>
      </c>
      <c r="B200" s="64" t="s">
        <v>1817</v>
      </c>
      <c r="C200" s="64" t="s">
        <v>1816</v>
      </c>
      <c r="D200" s="66" t="s">
        <v>2458</v>
      </c>
    </row>
    <row r="201" spans="1:14" collapsed="1" x14ac:dyDescent="0.25">
      <c r="A201" s="209" t="s">
        <v>2320</v>
      </c>
      <c r="B201" s="209"/>
      <c r="C201" s="209"/>
      <c r="D201" s="209"/>
    </row>
    <row r="202" spans="1:14" x14ac:dyDescent="0.25">
      <c r="A202" s="208" t="s">
        <v>2321</v>
      </c>
      <c r="B202" s="208"/>
      <c r="C202" s="208"/>
      <c r="D202" s="208"/>
      <c r="E202" s="56"/>
      <c r="F202" s="56"/>
      <c r="G202" s="56"/>
      <c r="H202" s="56"/>
      <c r="I202" s="56"/>
      <c r="J202" s="56"/>
      <c r="K202" s="56"/>
      <c r="L202" s="56"/>
      <c r="M202" s="56"/>
      <c r="N202" s="56"/>
    </row>
    <row r="203" spans="1:14" ht="30" hidden="1" outlineLevel="1" x14ac:dyDescent="0.25">
      <c r="A203" s="42" t="s">
        <v>793</v>
      </c>
      <c r="B203" s="64" t="s">
        <v>1818</v>
      </c>
      <c r="C203" s="64" t="s">
        <v>1819</v>
      </c>
      <c r="D203" s="63" t="s">
        <v>136</v>
      </c>
    </row>
    <row r="204" spans="1:14" hidden="1" outlineLevel="1" x14ac:dyDescent="0.25">
      <c r="A204" s="42" t="s">
        <v>797</v>
      </c>
      <c r="B204" s="64" t="s">
        <v>1820</v>
      </c>
      <c r="C204" s="64" t="s">
        <v>1821</v>
      </c>
      <c r="D204" s="66" t="s">
        <v>136</v>
      </c>
    </row>
    <row r="205" spans="1:14" ht="30" hidden="1" outlineLevel="1" x14ac:dyDescent="0.25">
      <c r="A205" s="42" t="s">
        <v>800</v>
      </c>
      <c r="B205" s="64" t="s">
        <v>1822</v>
      </c>
      <c r="C205" s="64" t="s">
        <v>1823</v>
      </c>
      <c r="D205" s="66" t="s">
        <v>136</v>
      </c>
    </row>
    <row r="206" spans="1:14" ht="30" hidden="1" outlineLevel="1" x14ac:dyDescent="0.25">
      <c r="A206" s="42" t="s">
        <v>803</v>
      </c>
      <c r="B206" s="64" t="s">
        <v>1824</v>
      </c>
      <c r="C206" s="64" t="s">
        <v>1825</v>
      </c>
      <c r="D206" s="66" t="s">
        <v>136</v>
      </c>
    </row>
    <row r="207" spans="1:14" ht="30" hidden="1" outlineLevel="1" x14ac:dyDescent="0.25">
      <c r="A207" s="42" t="s">
        <v>806</v>
      </c>
      <c r="B207" s="64" t="s">
        <v>1826</v>
      </c>
      <c r="C207" s="64" t="s">
        <v>1827</v>
      </c>
      <c r="D207" s="66" t="s">
        <v>136</v>
      </c>
    </row>
    <row r="208" spans="1:14" collapsed="1" x14ac:dyDescent="0.25">
      <c r="A208" s="209" t="s">
        <v>2322</v>
      </c>
      <c r="B208" s="209"/>
      <c r="C208" s="209"/>
      <c r="D208" s="209"/>
    </row>
    <row r="209" spans="1:14" x14ac:dyDescent="0.25">
      <c r="A209" s="208" t="s">
        <v>2323</v>
      </c>
      <c r="B209" s="208"/>
      <c r="C209" s="208"/>
      <c r="D209" s="208"/>
      <c r="E209" s="56"/>
      <c r="F209" s="56"/>
      <c r="G209" s="56"/>
      <c r="H209" s="56"/>
      <c r="I209" s="56"/>
      <c r="J209" s="56"/>
      <c r="K209" s="56"/>
      <c r="L209" s="56"/>
      <c r="M209" s="56"/>
      <c r="N209" s="56"/>
    </row>
    <row r="210" spans="1:14" hidden="1" outlineLevel="1" x14ac:dyDescent="0.25">
      <c r="A210" s="42" t="s">
        <v>195</v>
      </c>
      <c r="B210" s="64" t="s">
        <v>1851</v>
      </c>
      <c r="C210" s="64" t="s">
        <v>1862</v>
      </c>
      <c r="D210" s="66" t="s">
        <v>2458</v>
      </c>
    </row>
    <row r="211" spans="1:14" hidden="1" outlineLevel="1" x14ac:dyDescent="0.25">
      <c r="A211" s="42" t="s">
        <v>879</v>
      </c>
      <c r="B211" s="64" t="s">
        <v>1863</v>
      </c>
      <c r="C211" s="64" t="s">
        <v>1864</v>
      </c>
      <c r="D211" s="63" t="s">
        <v>118</v>
      </c>
    </row>
    <row r="212" spans="1:14" hidden="1" outlineLevel="1" x14ac:dyDescent="0.25">
      <c r="A212" s="42" t="s">
        <v>883</v>
      </c>
      <c r="B212" s="64" t="s">
        <v>1865</v>
      </c>
      <c r="C212" s="64" t="s">
        <v>1866</v>
      </c>
      <c r="D212" s="66" t="s">
        <v>2458</v>
      </c>
    </row>
    <row r="213" spans="1:14" hidden="1" outlineLevel="1" x14ac:dyDescent="0.25">
      <c r="A213" s="42" t="s">
        <v>887</v>
      </c>
      <c r="B213" s="64" t="s">
        <v>1867</v>
      </c>
      <c r="C213" s="64" t="s">
        <v>1868</v>
      </c>
      <c r="D213" s="66" t="s">
        <v>118</v>
      </c>
    </row>
    <row r="214" spans="1:14" ht="60" hidden="1" outlineLevel="1" x14ac:dyDescent="0.25">
      <c r="A214" s="42" t="s">
        <v>890</v>
      </c>
      <c r="B214" s="64" t="s">
        <v>1869</v>
      </c>
      <c r="C214" s="64" t="s">
        <v>1870</v>
      </c>
      <c r="D214" s="66" t="s">
        <v>2458</v>
      </c>
    </row>
    <row r="215" spans="1:14" ht="30" hidden="1" outlineLevel="1" x14ac:dyDescent="0.25">
      <c r="A215" s="42" t="s">
        <v>893</v>
      </c>
      <c r="B215" s="64" t="s">
        <v>1871</v>
      </c>
      <c r="C215" s="64" t="s">
        <v>1872</v>
      </c>
      <c r="D215" s="66" t="s">
        <v>2458</v>
      </c>
    </row>
    <row r="216" spans="1:14" ht="45" hidden="1" outlineLevel="1" x14ac:dyDescent="0.25">
      <c r="A216" s="42" t="s">
        <v>896</v>
      </c>
      <c r="B216" s="64" t="s">
        <v>1873</v>
      </c>
      <c r="C216" s="64" t="s">
        <v>1874</v>
      </c>
      <c r="D216" s="63" t="s">
        <v>116</v>
      </c>
    </row>
    <row r="217" spans="1:14" ht="45" hidden="1" outlineLevel="1" x14ac:dyDescent="0.25">
      <c r="A217" s="42" t="s">
        <v>899</v>
      </c>
      <c r="B217" s="64" t="s">
        <v>1875</v>
      </c>
      <c r="C217" s="64" t="s">
        <v>1876</v>
      </c>
      <c r="D217" s="66" t="s">
        <v>116</v>
      </c>
    </row>
    <row r="218" spans="1:14" ht="30" hidden="1" outlineLevel="1" x14ac:dyDescent="0.25">
      <c r="A218" s="42" t="s">
        <v>902</v>
      </c>
      <c r="B218" s="64" t="s">
        <v>1877</v>
      </c>
      <c r="C218" s="64" t="s">
        <v>1878</v>
      </c>
      <c r="D218" s="66" t="s">
        <v>2458</v>
      </c>
    </row>
    <row r="219" spans="1:14" ht="30" hidden="1" outlineLevel="1" x14ac:dyDescent="0.25">
      <c r="A219" s="42" t="s">
        <v>905</v>
      </c>
      <c r="B219" s="64" t="s">
        <v>1879</v>
      </c>
      <c r="C219" s="64" t="s">
        <v>1880</v>
      </c>
      <c r="D219" s="66" t="s">
        <v>2458</v>
      </c>
    </row>
    <row r="220" spans="1:14" hidden="1" outlineLevel="1" x14ac:dyDescent="0.25">
      <c r="A220" s="42" t="s">
        <v>908</v>
      </c>
      <c r="B220" s="64" t="s">
        <v>1881</v>
      </c>
      <c r="C220" s="64" t="s">
        <v>1882</v>
      </c>
      <c r="D220" s="66" t="s">
        <v>116</v>
      </c>
    </row>
    <row r="221" spans="1:14" hidden="1" outlineLevel="1" x14ac:dyDescent="0.25">
      <c r="A221" s="42" t="s">
        <v>911</v>
      </c>
      <c r="B221" s="64" t="s">
        <v>1883</v>
      </c>
      <c r="C221" s="64" t="s">
        <v>1884</v>
      </c>
      <c r="D221" s="66" t="s">
        <v>2458</v>
      </c>
    </row>
    <row r="222" spans="1:14" ht="30" hidden="1" outlineLevel="1" x14ac:dyDescent="0.25">
      <c r="A222" s="42" t="s">
        <v>914</v>
      </c>
      <c r="B222" s="64" t="s">
        <v>1885</v>
      </c>
      <c r="C222" s="64" t="s">
        <v>1886</v>
      </c>
      <c r="D222" s="66" t="s">
        <v>2458</v>
      </c>
    </row>
    <row r="223" spans="1:14" ht="30" hidden="1" outlineLevel="1" x14ac:dyDescent="0.25">
      <c r="A223" s="42" t="s">
        <v>1852</v>
      </c>
      <c r="B223" s="64" t="s">
        <v>1887</v>
      </c>
      <c r="C223" s="64" t="s">
        <v>1888</v>
      </c>
      <c r="D223" s="66" t="s">
        <v>116</v>
      </c>
    </row>
    <row r="224" spans="1:14" ht="75" hidden="1" outlineLevel="1" x14ac:dyDescent="0.25">
      <c r="A224" s="42" t="s">
        <v>1853</v>
      </c>
      <c r="B224" s="64" t="s">
        <v>1889</v>
      </c>
      <c r="C224" s="64" t="s">
        <v>1890</v>
      </c>
      <c r="D224" s="66" t="s">
        <v>2458</v>
      </c>
    </row>
    <row r="225" spans="1:14" hidden="1" outlineLevel="1" x14ac:dyDescent="0.25">
      <c r="A225" s="42" t="s">
        <v>1854</v>
      </c>
      <c r="B225" s="64" t="s">
        <v>1891</v>
      </c>
      <c r="C225" s="64" t="s">
        <v>1892</v>
      </c>
      <c r="D225" s="66" t="s">
        <v>2458</v>
      </c>
    </row>
    <row r="226" spans="1:14" hidden="1" outlineLevel="1" x14ac:dyDescent="0.25">
      <c r="A226" s="42" t="s">
        <v>1855</v>
      </c>
      <c r="B226" s="64" t="s">
        <v>1893</v>
      </c>
      <c r="C226" s="64" t="s">
        <v>1894</v>
      </c>
      <c r="D226" s="66" t="s">
        <v>116</v>
      </c>
    </row>
    <row r="227" spans="1:14" ht="30" hidden="1" outlineLevel="1" x14ac:dyDescent="0.25">
      <c r="A227" s="42" t="s">
        <v>1856</v>
      </c>
      <c r="B227" s="64" t="s">
        <v>1895</v>
      </c>
      <c r="C227" s="64" t="s">
        <v>1896</v>
      </c>
      <c r="D227" s="66" t="s">
        <v>2458</v>
      </c>
    </row>
    <row r="228" spans="1:14" ht="30" hidden="1" outlineLevel="1" x14ac:dyDescent="0.25">
      <c r="A228" s="42" t="s">
        <v>1857</v>
      </c>
      <c r="B228" s="64" t="s">
        <v>1897</v>
      </c>
      <c r="C228" s="64" t="s">
        <v>1898</v>
      </c>
      <c r="D228" s="66" t="s">
        <v>2458</v>
      </c>
    </row>
    <row r="229" spans="1:14" hidden="1" outlineLevel="1" x14ac:dyDescent="0.25">
      <c r="A229" s="42" t="s">
        <v>1858</v>
      </c>
      <c r="B229" s="64" t="s">
        <v>1899</v>
      </c>
      <c r="C229" s="64" t="s">
        <v>1900</v>
      </c>
      <c r="D229" s="66" t="s">
        <v>118</v>
      </c>
    </row>
    <row r="230" spans="1:14" hidden="1" outlineLevel="1" x14ac:dyDescent="0.25">
      <c r="A230" s="42" t="s">
        <v>1859</v>
      </c>
      <c r="B230" s="64" t="s">
        <v>1901</v>
      </c>
      <c r="C230" s="64" t="s">
        <v>1902</v>
      </c>
      <c r="D230" s="63" t="s">
        <v>2461</v>
      </c>
    </row>
    <row r="231" spans="1:14" ht="30" hidden="1" outlineLevel="1" x14ac:dyDescent="0.25">
      <c r="A231" s="42" t="s">
        <v>1860</v>
      </c>
      <c r="B231" s="64" t="s">
        <v>1903</v>
      </c>
      <c r="C231" s="64" t="s">
        <v>1904</v>
      </c>
      <c r="D231" s="66" t="s">
        <v>2458</v>
      </c>
    </row>
    <row r="232" spans="1:14" ht="45" hidden="1" outlineLevel="1" x14ac:dyDescent="0.25">
      <c r="A232" s="42" t="s">
        <v>1861</v>
      </c>
      <c r="B232" s="64" t="s">
        <v>1905</v>
      </c>
      <c r="C232" s="64" t="s">
        <v>1906</v>
      </c>
      <c r="D232" s="66" t="s">
        <v>2462</v>
      </c>
    </row>
    <row r="233" spans="1:14" collapsed="1" x14ac:dyDescent="0.25">
      <c r="A233" s="208" t="s">
        <v>2324</v>
      </c>
      <c r="B233" s="208"/>
      <c r="C233" s="208"/>
      <c r="D233" s="208"/>
      <c r="E233" s="56"/>
      <c r="F233" s="56"/>
      <c r="G233" s="56"/>
      <c r="H233" s="56"/>
      <c r="I233" s="56"/>
      <c r="J233" s="56"/>
      <c r="K233" s="56"/>
      <c r="L233" s="56"/>
      <c r="M233" s="56"/>
      <c r="N233" s="56"/>
    </row>
    <row r="234" spans="1:14" ht="30" hidden="1" outlineLevel="1" x14ac:dyDescent="0.25">
      <c r="A234" s="42" t="s">
        <v>234</v>
      </c>
      <c r="B234" s="64" t="s">
        <v>1907</v>
      </c>
      <c r="C234" s="64" t="s">
        <v>1908</v>
      </c>
      <c r="D234" s="66" t="s">
        <v>102</v>
      </c>
    </row>
    <row r="235" spans="1:14" ht="30" hidden="1" outlineLevel="1" x14ac:dyDescent="0.25">
      <c r="A235" s="42" t="s">
        <v>430</v>
      </c>
      <c r="B235" s="64" t="s">
        <v>1909</v>
      </c>
      <c r="C235" s="64" t="s">
        <v>1910</v>
      </c>
      <c r="D235" s="66" t="s">
        <v>102</v>
      </c>
    </row>
    <row r="236" spans="1:14" hidden="1" outlineLevel="1" x14ac:dyDescent="0.25">
      <c r="A236" s="42" t="s">
        <v>924</v>
      </c>
      <c r="B236" s="64" t="s">
        <v>1911</v>
      </c>
      <c r="C236" s="64" t="s">
        <v>1912</v>
      </c>
      <c r="D236" s="66" t="s">
        <v>102</v>
      </c>
    </row>
    <row r="237" spans="1:14" hidden="1" outlineLevel="1" x14ac:dyDescent="0.25">
      <c r="A237" s="42" t="s">
        <v>465</v>
      </c>
      <c r="B237" s="64" t="s">
        <v>1913</v>
      </c>
      <c r="C237" s="64" t="s">
        <v>1914</v>
      </c>
      <c r="D237" s="66" t="s">
        <v>102</v>
      </c>
    </row>
    <row r="238" spans="1:14" hidden="1" outlineLevel="1" x14ac:dyDescent="0.25">
      <c r="A238" s="42" t="s">
        <v>929</v>
      </c>
      <c r="B238" s="64" t="s">
        <v>1915</v>
      </c>
      <c r="C238" s="64"/>
      <c r="D238" s="66" t="s">
        <v>102</v>
      </c>
    </row>
    <row r="239" spans="1:14" hidden="1" outlineLevel="1" x14ac:dyDescent="0.25">
      <c r="A239" s="42" t="s">
        <v>932</v>
      </c>
      <c r="B239" s="64" t="s">
        <v>1916</v>
      </c>
      <c r="C239" s="64" t="s">
        <v>1917</v>
      </c>
      <c r="D239" s="66" t="s">
        <v>102</v>
      </c>
    </row>
    <row r="240" spans="1:14" ht="45" hidden="1" outlineLevel="1" x14ac:dyDescent="0.25">
      <c r="A240" s="42" t="s">
        <v>480</v>
      </c>
      <c r="B240" s="64" t="s">
        <v>1918</v>
      </c>
      <c r="C240" s="64" t="s">
        <v>1919</v>
      </c>
      <c r="D240" s="66" t="s">
        <v>102</v>
      </c>
    </row>
    <row r="241" spans="1:14" collapsed="1" x14ac:dyDescent="0.25">
      <c r="A241" s="208" t="s">
        <v>2325</v>
      </c>
      <c r="B241" s="208"/>
      <c r="C241" s="208"/>
      <c r="D241" s="208"/>
      <c r="E241" s="56"/>
      <c r="F241" s="56"/>
      <c r="G241" s="56"/>
      <c r="H241" s="56"/>
      <c r="I241" s="56"/>
      <c r="J241" s="56"/>
      <c r="K241" s="56"/>
      <c r="L241" s="56"/>
      <c r="M241" s="56"/>
      <c r="N241" s="56"/>
    </row>
    <row r="242" spans="1:14" x14ac:dyDescent="0.25">
      <c r="A242" s="203" t="s">
        <v>2326</v>
      </c>
      <c r="B242" s="203"/>
      <c r="C242" s="203"/>
      <c r="D242" s="203"/>
    </row>
    <row r="243" spans="1:14" hidden="1" outlineLevel="1" x14ac:dyDescent="0.25">
      <c r="A243" s="42" t="s">
        <v>1920</v>
      </c>
      <c r="B243" s="64" t="s">
        <v>1923</v>
      </c>
      <c r="C243" s="64" t="s">
        <v>1924</v>
      </c>
      <c r="D243" s="66" t="s">
        <v>100</v>
      </c>
    </row>
    <row r="244" spans="1:14" hidden="1" outlineLevel="1" x14ac:dyDescent="0.25">
      <c r="A244" s="42" t="s">
        <v>1921</v>
      </c>
      <c r="B244" s="64" t="s">
        <v>1925</v>
      </c>
      <c r="C244" s="64" t="s">
        <v>1927</v>
      </c>
      <c r="D244" s="66" t="s">
        <v>100</v>
      </c>
    </row>
    <row r="245" spans="1:14" hidden="1" outlineLevel="1" x14ac:dyDescent="0.25">
      <c r="A245" s="42" t="s">
        <v>1922</v>
      </c>
      <c r="B245" s="64" t="s">
        <v>1926</v>
      </c>
      <c r="C245" s="64" t="s">
        <v>1928</v>
      </c>
      <c r="D245" s="66" t="s">
        <v>100</v>
      </c>
    </row>
    <row r="246" spans="1:14" collapsed="1" x14ac:dyDescent="0.25">
      <c r="A246" s="203" t="s">
        <v>2327</v>
      </c>
      <c r="B246" s="203"/>
      <c r="C246" s="203"/>
      <c r="D246" s="203"/>
    </row>
    <row r="247" spans="1:14" hidden="1" outlineLevel="1" x14ac:dyDescent="0.25">
      <c r="A247" s="42" t="s">
        <v>1929</v>
      </c>
      <c r="B247" s="64" t="s">
        <v>1933</v>
      </c>
      <c r="C247" s="64" t="s">
        <v>1934</v>
      </c>
      <c r="D247" s="66" t="s">
        <v>100</v>
      </c>
    </row>
    <row r="248" spans="1:14" hidden="1" outlineLevel="1" x14ac:dyDescent="0.25">
      <c r="A248" s="42" t="s">
        <v>1930</v>
      </c>
      <c r="B248" s="64" t="s">
        <v>1935</v>
      </c>
      <c r="C248" s="64" t="s">
        <v>1936</v>
      </c>
      <c r="D248" s="66" t="s">
        <v>100</v>
      </c>
    </row>
    <row r="249" spans="1:14" hidden="1" outlineLevel="1" x14ac:dyDescent="0.25">
      <c r="A249" s="42" t="s">
        <v>1931</v>
      </c>
      <c r="B249" s="64" t="s">
        <v>1937</v>
      </c>
      <c r="C249" s="64" t="s">
        <v>1938</v>
      </c>
      <c r="D249" s="66" t="s">
        <v>100</v>
      </c>
    </row>
    <row r="250" spans="1:14" hidden="1" outlineLevel="1" x14ac:dyDescent="0.25">
      <c r="A250" s="42" t="s">
        <v>1932</v>
      </c>
      <c r="B250" s="64" t="s">
        <v>1939</v>
      </c>
      <c r="C250" s="64" t="s">
        <v>1938</v>
      </c>
      <c r="D250" s="66" t="s">
        <v>100</v>
      </c>
    </row>
    <row r="251" spans="1:14" collapsed="1" x14ac:dyDescent="0.25">
      <c r="A251" s="203" t="s">
        <v>2328</v>
      </c>
      <c r="B251" s="203"/>
      <c r="C251" s="203"/>
      <c r="D251" s="203"/>
    </row>
    <row r="252" spans="1:14" x14ac:dyDescent="0.25">
      <c r="A252" s="207" t="s">
        <v>2329</v>
      </c>
      <c r="B252" s="207"/>
      <c r="C252" s="207"/>
      <c r="D252" s="207"/>
    </row>
    <row r="253" spans="1:14" hidden="1" outlineLevel="1" x14ac:dyDescent="0.25">
      <c r="A253" s="42" t="s">
        <v>1940</v>
      </c>
      <c r="B253" s="64" t="s">
        <v>1943</v>
      </c>
      <c r="C253" s="64" t="s">
        <v>1936</v>
      </c>
      <c r="D253" s="66" t="s">
        <v>100</v>
      </c>
    </row>
    <row r="254" spans="1:14" hidden="1" outlineLevel="1" x14ac:dyDescent="0.25">
      <c r="A254" s="42" t="s">
        <v>1941</v>
      </c>
      <c r="B254" s="64" t="s">
        <v>1944</v>
      </c>
      <c r="C254" s="64" t="s">
        <v>1936</v>
      </c>
      <c r="D254" s="66" t="s">
        <v>100</v>
      </c>
    </row>
    <row r="255" spans="1:14" hidden="1" outlineLevel="1" x14ac:dyDescent="0.25">
      <c r="A255" s="42" t="s">
        <v>1942</v>
      </c>
      <c r="B255" s="64" t="s">
        <v>1945</v>
      </c>
      <c r="C255" s="64" t="s">
        <v>1936</v>
      </c>
      <c r="D255" s="66" t="s">
        <v>100</v>
      </c>
    </row>
    <row r="256" spans="1:14" collapsed="1" x14ac:dyDescent="0.25">
      <c r="A256" s="207" t="s">
        <v>2330</v>
      </c>
      <c r="B256" s="207"/>
      <c r="C256" s="207"/>
      <c r="D256" s="207"/>
    </row>
    <row r="257" spans="1:4" hidden="1" outlineLevel="1" x14ac:dyDescent="0.25">
      <c r="A257" s="42" t="s">
        <v>1947</v>
      </c>
      <c r="B257" s="64" t="s">
        <v>1946</v>
      </c>
      <c r="C257" s="64" t="s">
        <v>1955</v>
      </c>
      <c r="D257" s="66" t="s">
        <v>100</v>
      </c>
    </row>
    <row r="258" spans="1:4" hidden="1" outlineLevel="1" x14ac:dyDescent="0.25">
      <c r="A258" s="42" t="s">
        <v>1948</v>
      </c>
      <c r="B258" s="8" t="s">
        <v>1956</v>
      </c>
      <c r="C258" s="65" t="s">
        <v>1957</v>
      </c>
      <c r="D258" s="66" t="s">
        <v>100</v>
      </c>
    </row>
    <row r="259" spans="1:4" hidden="1" outlineLevel="1" x14ac:dyDescent="0.25">
      <c r="A259" s="42" t="s">
        <v>1949</v>
      </c>
      <c r="B259" s="8" t="s">
        <v>1958</v>
      </c>
      <c r="C259" s="65" t="s">
        <v>1959</v>
      </c>
      <c r="D259" s="66" t="s">
        <v>100</v>
      </c>
    </row>
    <row r="260" spans="1:4" hidden="1" outlineLevel="1" x14ac:dyDescent="0.25">
      <c r="A260" s="42" t="s">
        <v>1950</v>
      </c>
      <c r="B260" s="8" t="s">
        <v>1960</v>
      </c>
      <c r="C260" s="65" t="s">
        <v>1955</v>
      </c>
      <c r="D260" s="66" t="s">
        <v>100</v>
      </c>
    </row>
    <row r="261" spans="1:4" hidden="1" outlineLevel="1" x14ac:dyDescent="0.25">
      <c r="A261" s="42" t="s">
        <v>1951</v>
      </c>
      <c r="B261" s="8" t="s">
        <v>1961</v>
      </c>
      <c r="C261" s="65" t="s">
        <v>1955</v>
      </c>
      <c r="D261" s="66" t="s">
        <v>100</v>
      </c>
    </row>
    <row r="262" spans="1:4" ht="30" hidden="1" outlineLevel="1" x14ac:dyDescent="0.25">
      <c r="A262" s="42" t="s">
        <v>1952</v>
      </c>
      <c r="B262" s="8" t="s">
        <v>1962</v>
      </c>
      <c r="C262" s="65" t="s">
        <v>1963</v>
      </c>
      <c r="D262" s="66" t="s">
        <v>100</v>
      </c>
    </row>
    <row r="263" spans="1:4" hidden="1" outlineLevel="1" x14ac:dyDescent="0.25">
      <c r="A263" s="42" t="s">
        <v>1953</v>
      </c>
      <c r="B263" s="8" t="s">
        <v>1964</v>
      </c>
      <c r="C263" s="65" t="s">
        <v>1957</v>
      </c>
      <c r="D263" s="66" t="s">
        <v>100</v>
      </c>
    </row>
    <row r="264" spans="1:4" hidden="1" outlineLevel="1" x14ac:dyDescent="0.25">
      <c r="A264" s="42" t="s">
        <v>1954</v>
      </c>
      <c r="B264" s="8" t="s">
        <v>1965</v>
      </c>
      <c r="C264" s="65" t="s">
        <v>1955</v>
      </c>
      <c r="D264" s="66" t="s">
        <v>100</v>
      </c>
    </row>
    <row r="265" spans="1:4" collapsed="1" x14ac:dyDescent="0.25">
      <c r="A265" s="207" t="s">
        <v>2331</v>
      </c>
      <c r="B265" s="207"/>
      <c r="C265" s="207"/>
      <c r="D265" s="207"/>
    </row>
    <row r="266" spans="1:4" ht="30" hidden="1" outlineLevel="1" x14ac:dyDescent="0.25">
      <c r="A266" s="68" t="s">
        <v>1968</v>
      </c>
      <c r="B266" s="8" t="s">
        <v>1966</v>
      </c>
      <c r="C266" s="65" t="s">
        <v>1967</v>
      </c>
      <c r="D266" s="66" t="s">
        <v>100</v>
      </c>
    </row>
    <row r="267" spans="1:4" ht="30" hidden="1" outlineLevel="1" x14ac:dyDescent="0.25">
      <c r="A267" s="68" t="s">
        <v>1969</v>
      </c>
      <c r="B267" s="8" t="s">
        <v>1971</v>
      </c>
      <c r="C267" s="65" t="s">
        <v>1967</v>
      </c>
      <c r="D267" s="66" t="s">
        <v>100</v>
      </c>
    </row>
    <row r="268" spans="1:4" hidden="1" outlineLevel="1" x14ac:dyDescent="0.25">
      <c r="A268" s="68" t="s">
        <v>1970</v>
      </c>
      <c r="B268" s="64" t="s">
        <v>1972</v>
      </c>
      <c r="C268" s="64" t="s">
        <v>1973</v>
      </c>
      <c r="D268" s="66" t="s">
        <v>100</v>
      </c>
    </row>
    <row r="269" spans="1:4" collapsed="1" x14ac:dyDescent="0.25">
      <c r="A269" s="207" t="s">
        <v>2332</v>
      </c>
      <c r="B269" s="207"/>
      <c r="C269" s="207"/>
      <c r="D269" s="207"/>
    </row>
    <row r="270" spans="1:4" hidden="1" outlineLevel="1" x14ac:dyDescent="0.25">
      <c r="A270" s="42" t="s">
        <v>1974</v>
      </c>
      <c r="B270" s="64" t="s">
        <v>1978</v>
      </c>
      <c r="C270" s="64" t="s">
        <v>1979</v>
      </c>
      <c r="D270" s="66" t="s">
        <v>2458</v>
      </c>
    </row>
    <row r="271" spans="1:4" ht="45" hidden="1" outlineLevel="1" x14ac:dyDescent="0.25">
      <c r="A271" s="42" t="s">
        <v>1975</v>
      </c>
      <c r="B271" s="64" t="s">
        <v>1980</v>
      </c>
      <c r="C271" s="64" t="s">
        <v>1981</v>
      </c>
      <c r="D271" s="66" t="s">
        <v>2458</v>
      </c>
    </row>
    <row r="272" spans="1:4" ht="45" hidden="1" outlineLevel="1" x14ac:dyDescent="0.25">
      <c r="A272" s="42" t="s">
        <v>1976</v>
      </c>
      <c r="B272" s="64" t="s">
        <v>1982</v>
      </c>
      <c r="C272" s="64" t="s">
        <v>1983</v>
      </c>
      <c r="D272" s="66" t="s">
        <v>2458</v>
      </c>
    </row>
    <row r="273" spans="1:14" hidden="1" outlineLevel="1" x14ac:dyDescent="0.25">
      <c r="A273" s="42" t="s">
        <v>1977</v>
      </c>
      <c r="B273" s="64" t="s">
        <v>1984</v>
      </c>
      <c r="C273" s="64" t="s">
        <v>1973</v>
      </c>
      <c r="D273" s="66" t="s">
        <v>2458</v>
      </c>
    </row>
    <row r="274" spans="1:14" collapsed="1" x14ac:dyDescent="0.25">
      <c r="A274" s="208" t="s">
        <v>2333</v>
      </c>
      <c r="B274" s="208"/>
      <c r="C274" s="208"/>
      <c r="D274" s="208"/>
      <c r="E274" s="56"/>
      <c r="F274" s="56"/>
      <c r="G274" s="56"/>
      <c r="H274" s="56"/>
      <c r="I274" s="56"/>
      <c r="J274" s="56"/>
      <c r="K274" s="56"/>
      <c r="L274" s="56"/>
      <c r="M274" s="56"/>
      <c r="N274" s="56"/>
    </row>
    <row r="275" spans="1:14" x14ac:dyDescent="0.25">
      <c r="A275" s="203" t="s">
        <v>2334</v>
      </c>
      <c r="B275" s="203"/>
      <c r="C275" s="203"/>
      <c r="D275" s="203"/>
    </row>
    <row r="276" spans="1:14" ht="45" hidden="1" outlineLevel="1" x14ac:dyDescent="0.25">
      <c r="A276" s="42" t="s">
        <v>1986</v>
      </c>
      <c r="B276" s="64" t="s">
        <v>1985</v>
      </c>
      <c r="C276" s="64" t="s">
        <v>1992</v>
      </c>
      <c r="D276" s="66" t="s">
        <v>100</v>
      </c>
    </row>
    <row r="277" spans="1:14" ht="30" hidden="1" outlineLevel="1" x14ac:dyDescent="0.25">
      <c r="A277" s="42" t="s">
        <v>1987</v>
      </c>
      <c r="B277" s="64" t="s">
        <v>1993</v>
      </c>
      <c r="C277" s="64" t="s">
        <v>1994</v>
      </c>
      <c r="D277" s="66" t="s">
        <v>100</v>
      </c>
    </row>
    <row r="278" spans="1:14" ht="30" hidden="1" outlineLevel="1" x14ac:dyDescent="0.25">
      <c r="A278" s="42" t="s">
        <v>1988</v>
      </c>
      <c r="B278" s="64" t="s">
        <v>1995</v>
      </c>
      <c r="C278" s="64" t="s">
        <v>1996</v>
      </c>
      <c r="D278" s="66" t="s">
        <v>100</v>
      </c>
    </row>
    <row r="279" spans="1:14" ht="45" hidden="1" outlineLevel="1" x14ac:dyDescent="0.25">
      <c r="A279" s="42" t="s">
        <v>1989</v>
      </c>
      <c r="B279" s="64" t="s">
        <v>1997</v>
      </c>
      <c r="C279" s="64" t="s">
        <v>1998</v>
      </c>
      <c r="D279" s="66" t="s">
        <v>2458</v>
      </c>
    </row>
    <row r="280" spans="1:14" hidden="1" outlineLevel="1" x14ac:dyDescent="0.25">
      <c r="A280" s="42" t="s">
        <v>1990</v>
      </c>
      <c r="B280" s="64" t="s">
        <v>1999</v>
      </c>
      <c r="C280" s="64" t="s">
        <v>2000</v>
      </c>
      <c r="D280" s="66" t="s">
        <v>2458</v>
      </c>
    </row>
    <row r="281" spans="1:14" hidden="1" outlineLevel="1" x14ac:dyDescent="0.25">
      <c r="A281" s="42" t="s">
        <v>1991</v>
      </c>
      <c r="B281" s="64" t="s">
        <v>2001</v>
      </c>
      <c r="C281" s="64" t="s">
        <v>2002</v>
      </c>
      <c r="D281" s="66" t="s">
        <v>2458</v>
      </c>
    </row>
    <row r="282" spans="1:14" collapsed="1" x14ac:dyDescent="0.25">
      <c r="A282" s="203" t="s">
        <v>2335</v>
      </c>
      <c r="B282" s="203"/>
      <c r="C282" s="203"/>
      <c r="D282" s="203"/>
    </row>
    <row r="283" spans="1:14" ht="30" hidden="1" outlineLevel="1" x14ac:dyDescent="0.25">
      <c r="A283" s="42" t="s">
        <v>2004</v>
      </c>
      <c r="B283" s="64" t="s">
        <v>2003</v>
      </c>
      <c r="C283" s="64" t="s">
        <v>2005</v>
      </c>
      <c r="D283" s="66" t="s">
        <v>86</v>
      </c>
    </row>
    <row r="284" spans="1:14" hidden="1" outlineLevel="1" x14ac:dyDescent="0.25">
      <c r="A284" s="42" t="s">
        <v>2006</v>
      </c>
      <c r="B284" s="64" t="s">
        <v>2013</v>
      </c>
      <c r="C284" s="64" t="s">
        <v>2014</v>
      </c>
      <c r="D284" s="66" t="s">
        <v>2458</v>
      </c>
    </row>
    <row r="285" spans="1:14" hidden="1" outlineLevel="1" x14ac:dyDescent="0.25">
      <c r="A285" s="42" t="s">
        <v>2007</v>
      </c>
      <c r="B285" s="64" t="s">
        <v>2015</v>
      </c>
      <c r="C285" s="64" t="s">
        <v>2016</v>
      </c>
      <c r="D285" s="66" t="s">
        <v>2458</v>
      </c>
    </row>
    <row r="286" spans="1:14" hidden="1" outlineLevel="1" x14ac:dyDescent="0.25">
      <c r="A286" s="42" t="s">
        <v>2008</v>
      </c>
      <c r="B286" s="64" t="s">
        <v>2017</v>
      </c>
      <c r="C286" s="64" t="s">
        <v>2018</v>
      </c>
      <c r="D286" s="66" t="s">
        <v>2458</v>
      </c>
    </row>
    <row r="287" spans="1:14" ht="30" hidden="1" outlineLevel="1" x14ac:dyDescent="0.25">
      <c r="A287" s="42" t="s">
        <v>2009</v>
      </c>
      <c r="B287" s="64" t="s">
        <v>2019</v>
      </c>
      <c r="C287" s="64" t="s">
        <v>2020</v>
      </c>
      <c r="D287" s="66" t="s">
        <v>2458</v>
      </c>
    </row>
    <row r="288" spans="1:14" ht="30" hidden="1" outlineLevel="1" x14ac:dyDescent="0.25">
      <c r="A288" s="42" t="s">
        <v>2010</v>
      </c>
      <c r="B288" s="64" t="s">
        <v>2021</v>
      </c>
      <c r="C288" s="64" t="s">
        <v>2022</v>
      </c>
      <c r="D288" s="66" t="s">
        <v>2458</v>
      </c>
    </row>
    <row r="289" spans="1:14" ht="60" hidden="1" outlineLevel="1" x14ac:dyDescent="0.25">
      <c r="A289" s="42" t="s">
        <v>2011</v>
      </c>
      <c r="B289" s="64" t="s">
        <v>2023</v>
      </c>
      <c r="C289" s="64" t="s">
        <v>2024</v>
      </c>
      <c r="D289" s="66" t="s">
        <v>86</v>
      </c>
    </row>
    <row r="290" spans="1:14" ht="60" hidden="1" outlineLevel="1" x14ac:dyDescent="0.25">
      <c r="A290" s="42" t="s">
        <v>2012</v>
      </c>
      <c r="B290" s="64" t="s">
        <v>2025</v>
      </c>
      <c r="C290" s="64" t="s">
        <v>2024</v>
      </c>
      <c r="D290" s="66" t="s">
        <v>86</v>
      </c>
    </row>
    <row r="291" spans="1:14" collapsed="1" x14ac:dyDescent="0.25">
      <c r="A291" s="203" t="s">
        <v>2336</v>
      </c>
      <c r="B291" s="203"/>
      <c r="C291" s="203"/>
      <c r="D291" s="203"/>
    </row>
    <row r="292" spans="1:14" ht="30" hidden="1" outlineLevel="1" x14ac:dyDescent="0.25">
      <c r="A292" s="42" t="s">
        <v>2027</v>
      </c>
      <c r="B292" s="64" t="s">
        <v>2026</v>
      </c>
      <c r="C292" s="64" t="s">
        <v>2030</v>
      </c>
      <c r="D292" s="66" t="s">
        <v>2458</v>
      </c>
    </row>
    <row r="293" spans="1:14" ht="30" hidden="1" outlineLevel="1" x14ac:dyDescent="0.25">
      <c r="A293" s="42" t="s">
        <v>2028</v>
      </c>
      <c r="B293" s="64" t="s">
        <v>2031</v>
      </c>
      <c r="C293" s="64" t="s">
        <v>2032</v>
      </c>
      <c r="D293" s="66" t="s">
        <v>2458</v>
      </c>
    </row>
    <row r="294" spans="1:14" ht="30" hidden="1" outlineLevel="1" x14ac:dyDescent="0.25">
      <c r="A294" s="42" t="s">
        <v>2029</v>
      </c>
      <c r="B294" s="64" t="s">
        <v>2033</v>
      </c>
      <c r="C294" s="64" t="s">
        <v>2034</v>
      </c>
      <c r="D294" s="66" t="s">
        <v>2458</v>
      </c>
    </row>
    <row r="295" spans="1:14" collapsed="1" x14ac:dyDescent="0.25">
      <c r="A295" s="209" t="s">
        <v>2337</v>
      </c>
      <c r="B295" s="209"/>
      <c r="C295" s="209"/>
      <c r="D295" s="209"/>
      <c r="E295" s="56"/>
      <c r="F295" s="56"/>
      <c r="G295" s="56"/>
      <c r="H295" s="56"/>
      <c r="I295" s="56"/>
      <c r="J295" s="56"/>
      <c r="K295" s="56"/>
      <c r="L295" s="56"/>
      <c r="M295" s="56"/>
      <c r="N295" s="56"/>
    </row>
    <row r="296" spans="1:14" x14ac:dyDescent="0.25">
      <c r="A296" s="208" t="s">
        <v>2338</v>
      </c>
      <c r="B296" s="208"/>
      <c r="C296" s="208"/>
      <c r="D296" s="208"/>
      <c r="E296" s="56"/>
      <c r="F296" s="56"/>
      <c r="G296" s="56"/>
      <c r="H296" s="56"/>
      <c r="I296" s="56"/>
      <c r="J296" s="56"/>
      <c r="K296" s="56"/>
      <c r="L296" s="56"/>
      <c r="M296" s="56"/>
      <c r="N296" s="56"/>
    </row>
    <row r="297" spans="1:14" x14ac:dyDescent="0.25">
      <c r="A297" s="203" t="s">
        <v>2339</v>
      </c>
      <c r="B297" s="203"/>
      <c r="C297" s="203"/>
      <c r="D297" s="203"/>
      <c r="E297" s="56"/>
      <c r="F297" s="56"/>
      <c r="G297" s="56"/>
      <c r="H297" s="56"/>
      <c r="I297" s="56"/>
      <c r="J297" s="56"/>
      <c r="K297" s="56"/>
      <c r="L297" s="56"/>
      <c r="M297" s="56"/>
      <c r="N297" s="56"/>
    </row>
    <row r="298" spans="1:14" x14ac:dyDescent="0.25">
      <c r="A298" s="207" t="s">
        <v>2340</v>
      </c>
      <c r="B298" s="207"/>
      <c r="C298" s="207"/>
      <c r="D298" s="207"/>
    </row>
    <row r="299" spans="1:14" hidden="1" outlineLevel="1" x14ac:dyDescent="0.25">
      <c r="A299" s="42" t="s">
        <v>2080</v>
      </c>
      <c r="B299" s="64" t="s">
        <v>2086</v>
      </c>
      <c r="C299" s="64" t="s">
        <v>2087</v>
      </c>
      <c r="D299" s="63" t="s">
        <v>120</v>
      </c>
    </row>
    <row r="300" spans="1:14" hidden="1" outlineLevel="1" x14ac:dyDescent="0.25">
      <c r="A300" s="42" t="s">
        <v>2081</v>
      </c>
      <c r="B300" s="64" t="s">
        <v>2088</v>
      </c>
      <c r="C300" s="64" t="s">
        <v>2089</v>
      </c>
      <c r="D300" s="66" t="s">
        <v>120</v>
      </c>
    </row>
    <row r="301" spans="1:14" ht="30" hidden="1" outlineLevel="1" x14ac:dyDescent="0.25">
      <c r="A301" s="42" t="s">
        <v>2082</v>
      </c>
      <c r="B301" s="64" t="s">
        <v>2090</v>
      </c>
      <c r="C301" s="64" t="s">
        <v>2091</v>
      </c>
      <c r="D301" s="66" t="s">
        <v>120</v>
      </c>
    </row>
    <row r="302" spans="1:14" ht="45" hidden="1" outlineLevel="1" x14ac:dyDescent="0.25">
      <c r="A302" s="42" t="s">
        <v>2083</v>
      </c>
      <c r="B302" s="64" t="s">
        <v>2092</v>
      </c>
      <c r="C302" s="64" t="s">
        <v>2093</v>
      </c>
      <c r="D302" s="66" t="s">
        <v>120</v>
      </c>
    </row>
    <row r="303" spans="1:14" ht="30" hidden="1" outlineLevel="1" x14ac:dyDescent="0.25">
      <c r="A303" s="42" t="s">
        <v>2084</v>
      </c>
      <c r="B303" s="64" t="s">
        <v>2094</v>
      </c>
      <c r="C303" s="64" t="s">
        <v>2095</v>
      </c>
      <c r="D303" s="66" t="s">
        <v>120</v>
      </c>
    </row>
    <row r="304" spans="1:14" ht="30" hidden="1" outlineLevel="1" x14ac:dyDescent="0.25">
      <c r="A304" s="42" t="s">
        <v>2085</v>
      </c>
      <c r="B304" s="64" t="s">
        <v>2096</v>
      </c>
      <c r="C304" s="64" t="s">
        <v>2097</v>
      </c>
      <c r="D304" s="66" t="s">
        <v>120</v>
      </c>
    </row>
    <row r="305" spans="1:14" collapsed="1" x14ac:dyDescent="0.25">
      <c r="A305" s="207" t="s">
        <v>2341</v>
      </c>
      <c r="B305" s="207"/>
      <c r="C305" s="207"/>
      <c r="D305" s="207"/>
    </row>
    <row r="306" spans="1:14" ht="45" hidden="1" outlineLevel="1" x14ac:dyDescent="0.25">
      <c r="A306" s="42" t="s">
        <v>2099</v>
      </c>
      <c r="B306" s="64" t="s">
        <v>2098</v>
      </c>
      <c r="C306" s="64" t="s">
        <v>2103</v>
      </c>
      <c r="D306" s="66" t="s">
        <v>120</v>
      </c>
    </row>
    <row r="307" spans="1:14" ht="45" hidden="1" outlineLevel="1" x14ac:dyDescent="0.25">
      <c r="A307" s="42" t="s">
        <v>2100</v>
      </c>
      <c r="B307" s="64" t="s">
        <v>2104</v>
      </c>
      <c r="C307" s="64" t="s">
        <v>2103</v>
      </c>
      <c r="D307" s="66" t="s">
        <v>120</v>
      </c>
    </row>
    <row r="308" spans="1:14" ht="30" hidden="1" outlineLevel="1" x14ac:dyDescent="0.25">
      <c r="A308" s="42" t="s">
        <v>2101</v>
      </c>
      <c r="B308" s="64" t="s">
        <v>2105</v>
      </c>
      <c r="C308" s="64" t="s">
        <v>2108</v>
      </c>
      <c r="D308" s="66" t="s">
        <v>120</v>
      </c>
    </row>
    <row r="309" spans="1:14" ht="45" hidden="1" outlineLevel="1" x14ac:dyDescent="0.25">
      <c r="A309" s="42" t="s">
        <v>2102</v>
      </c>
      <c r="B309" s="64" t="s">
        <v>2106</v>
      </c>
      <c r="C309" s="64" t="s">
        <v>2107</v>
      </c>
      <c r="D309" s="66" t="s">
        <v>120</v>
      </c>
    </row>
    <row r="310" spans="1:14" collapsed="1" x14ac:dyDescent="0.25">
      <c r="A310" s="203" t="s">
        <v>2342</v>
      </c>
      <c r="B310" s="203"/>
      <c r="C310" s="203"/>
      <c r="D310" s="203"/>
      <c r="E310" s="56"/>
      <c r="F310" s="56"/>
      <c r="G310" s="56"/>
      <c r="H310" s="56"/>
      <c r="I310" s="56"/>
      <c r="J310" s="56"/>
      <c r="K310" s="56"/>
      <c r="L310" s="56"/>
      <c r="M310" s="56"/>
      <c r="N310" s="56"/>
    </row>
    <row r="311" spans="1:14" ht="30" hidden="1" outlineLevel="1" x14ac:dyDescent="0.25">
      <c r="A311" s="42" t="s">
        <v>2110</v>
      </c>
      <c r="B311" s="64" t="s">
        <v>2109</v>
      </c>
      <c r="C311" s="64" t="s">
        <v>2111</v>
      </c>
      <c r="D311" s="66" t="s">
        <v>120</v>
      </c>
    </row>
    <row r="312" spans="1:14" hidden="1" outlineLevel="1" x14ac:dyDescent="0.25">
      <c r="A312" s="42" t="s">
        <v>2113</v>
      </c>
      <c r="B312" s="64" t="s">
        <v>2112</v>
      </c>
      <c r="C312" s="64" t="s">
        <v>2123</v>
      </c>
      <c r="D312" s="66" t="s">
        <v>120</v>
      </c>
    </row>
    <row r="313" spans="1:14" ht="45" hidden="1" outlineLevel="1" x14ac:dyDescent="0.25">
      <c r="A313" s="42" t="s">
        <v>2114</v>
      </c>
      <c r="B313" s="64" t="s">
        <v>2124</v>
      </c>
      <c r="C313" s="64" t="s">
        <v>2125</v>
      </c>
      <c r="D313" s="66" t="s">
        <v>120</v>
      </c>
    </row>
    <row r="314" spans="1:14" hidden="1" outlineLevel="1" x14ac:dyDescent="0.25">
      <c r="A314" s="42" t="s">
        <v>2115</v>
      </c>
      <c r="B314" s="64" t="s">
        <v>2126</v>
      </c>
      <c r="C314" s="64" t="s">
        <v>2089</v>
      </c>
      <c r="D314" s="66" t="s">
        <v>120</v>
      </c>
    </row>
    <row r="315" spans="1:14" ht="30" hidden="1" outlineLevel="1" x14ac:dyDescent="0.25">
      <c r="A315" s="42" t="s">
        <v>2116</v>
      </c>
      <c r="B315" s="64" t="s">
        <v>2127</v>
      </c>
      <c r="C315" s="64" t="s">
        <v>2128</v>
      </c>
      <c r="D315" s="66" t="s">
        <v>120</v>
      </c>
    </row>
    <row r="316" spans="1:14" ht="30" hidden="1" outlineLevel="1" x14ac:dyDescent="0.25">
      <c r="A316" s="42" t="s">
        <v>2117</v>
      </c>
      <c r="B316" s="64" t="s">
        <v>2129</v>
      </c>
      <c r="C316" s="64" t="s">
        <v>2130</v>
      </c>
      <c r="D316" s="66" t="s">
        <v>120</v>
      </c>
    </row>
    <row r="317" spans="1:14" hidden="1" outlineLevel="1" x14ac:dyDescent="0.25">
      <c r="A317" s="42" t="s">
        <v>2118</v>
      </c>
      <c r="B317" s="64" t="s">
        <v>2131</v>
      </c>
      <c r="C317" s="64" t="s">
        <v>2132</v>
      </c>
      <c r="D317" s="66" t="s">
        <v>120</v>
      </c>
    </row>
    <row r="318" spans="1:14" ht="30" hidden="1" outlineLevel="1" x14ac:dyDescent="0.25">
      <c r="A318" s="42" t="s">
        <v>2119</v>
      </c>
      <c r="B318" s="64" t="s">
        <v>2133</v>
      </c>
      <c r="C318" s="64" t="s">
        <v>2091</v>
      </c>
      <c r="D318" s="66" t="s">
        <v>120</v>
      </c>
    </row>
    <row r="319" spans="1:14" ht="45" hidden="1" outlineLevel="1" x14ac:dyDescent="0.25">
      <c r="A319" s="42" t="s">
        <v>2120</v>
      </c>
      <c r="B319" s="64" t="s">
        <v>2134</v>
      </c>
      <c r="C319" s="64" t="s">
        <v>2135</v>
      </c>
      <c r="D319" s="66" t="s">
        <v>120</v>
      </c>
    </row>
    <row r="320" spans="1:14" hidden="1" outlineLevel="1" x14ac:dyDescent="0.25">
      <c r="A320" s="42" t="s">
        <v>2121</v>
      </c>
      <c r="B320" s="64" t="s">
        <v>2136</v>
      </c>
      <c r="C320" s="64" t="s">
        <v>2137</v>
      </c>
      <c r="D320" s="66" t="s">
        <v>120</v>
      </c>
    </row>
    <row r="321" spans="1:14" ht="30" hidden="1" outlineLevel="1" x14ac:dyDescent="0.25">
      <c r="A321" s="42" t="s">
        <v>2122</v>
      </c>
      <c r="B321" s="64" t="s">
        <v>2138</v>
      </c>
      <c r="C321" s="64" t="s">
        <v>2139</v>
      </c>
      <c r="D321" s="66" t="s">
        <v>120</v>
      </c>
    </row>
    <row r="322" spans="1:14" collapsed="1" x14ac:dyDescent="0.25">
      <c r="A322" s="203" t="s">
        <v>2343</v>
      </c>
      <c r="B322" s="203"/>
      <c r="C322" s="203"/>
      <c r="D322" s="203"/>
      <c r="E322" s="56"/>
      <c r="F322" s="56"/>
      <c r="G322" s="56"/>
      <c r="H322" s="56"/>
      <c r="I322" s="56"/>
      <c r="J322" s="56"/>
      <c r="K322" s="56"/>
      <c r="L322" s="56"/>
      <c r="M322" s="56"/>
      <c r="N322" s="56"/>
    </row>
    <row r="323" spans="1:14" ht="30" hidden="1" outlineLevel="1" x14ac:dyDescent="0.25">
      <c r="A323" s="42" t="s">
        <v>2141</v>
      </c>
      <c r="B323" s="64" t="s">
        <v>2140</v>
      </c>
      <c r="C323" s="64" t="s">
        <v>2142</v>
      </c>
      <c r="D323" s="66" t="s">
        <v>2458</v>
      </c>
    </row>
    <row r="324" spans="1:14" collapsed="1" x14ac:dyDescent="0.25">
      <c r="A324" s="208" t="s">
        <v>2344</v>
      </c>
      <c r="B324" s="208"/>
      <c r="C324" s="208"/>
      <c r="D324" s="208"/>
      <c r="E324" s="56"/>
      <c r="F324" s="56"/>
      <c r="G324" s="56"/>
      <c r="H324" s="56"/>
      <c r="I324" s="56"/>
      <c r="J324" s="56"/>
      <c r="K324" s="56"/>
      <c r="L324" s="56"/>
      <c r="M324" s="56"/>
      <c r="N324" s="56"/>
    </row>
    <row r="325" spans="1:14" x14ac:dyDescent="0.25">
      <c r="A325" s="203" t="s">
        <v>2345</v>
      </c>
      <c r="B325" s="203"/>
      <c r="C325" s="203"/>
      <c r="D325" s="203"/>
      <c r="E325" s="56"/>
      <c r="F325" s="56"/>
      <c r="G325" s="56"/>
      <c r="H325" s="56"/>
      <c r="I325" s="56"/>
      <c r="J325" s="56"/>
      <c r="K325" s="56"/>
      <c r="L325" s="56"/>
      <c r="M325" s="56"/>
      <c r="N325" s="56"/>
    </row>
    <row r="326" spans="1:14" ht="30" hidden="1" outlineLevel="1" x14ac:dyDescent="0.25">
      <c r="A326" s="42" t="s">
        <v>2144</v>
      </c>
      <c r="B326" s="64" t="s">
        <v>2143</v>
      </c>
      <c r="C326" s="64" t="s">
        <v>2145</v>
      </c>
      <c r="D326" s="66" t="s">
        <v>120</v>
      </c>
    </row>
    <row r="327" spans="1:14" ht="30" hidden="1" outlineLevel="1" x14ac:dyDescent="0.25">
      <c r="A327" s="42" t="s">
        <v>2146</v>
      </c>
      <c r="B327" s="64" t="s">
        <v>2149</v>
      </c>
      <c r="C327" s="64" t="s">
        <v>2145</v>
      </c>
      <c r="D327" s="66" t="s">
        <v>120</v>
      </c>
    </row>
    <row r="328" spans="1:14" hidden="1" outlineLevel="1" x14ac:dyDescent="0.25">
      <c r="A328" s="42" t="s">
        <v>2147</v>
      </c>
      <c r="B328" s="64" t="s">
        <v>2150</v>
      </c>
      <c r="C328" s="64" t="s">
        <v>2151</v>
      </c>
      <c r="D328" s="66" t="s">
        <v>120</v>
      </c>
    </row>
    <row r="329" spans="1:14" ht="30" hidden="1" outlineLevel="1" x14ac:dyDescent="0.25">
      <c r="A329" s="42" t="s">
        <v>2148</v>
      </c>
      <c r="B329" s="64" t="s">
        <v>2152</v>
      </c>
      <c r="C329" s="64" t="s">
        <v>2153</v>
      </c>
      <c r="D329" s="66" t="s">
        <v>120</v>
      </c>
    </row>
    <row r="330" spans="1:14" collapsed="1" x14ac:dyDescent="0.25">
      <c r="A330" s="203" t="s">
        <v>2346</v>
      </c>
      <c r="B330" s="203"/>
      <c r="C330" s="203"/>
      <c r="D330" s="203"/>
      <c r="E330" s="56"/>
      <c r="F330" s="56"/>
      <c r="G330" s="56"/>
      <c r="H330" s="56"/>
      <c r="I330" s="56"/>
      <c r="J330" s="56"/>
      <c r="K330" s="56"/>
      <c r="L330" s="56"/>
      <c r="M330" s="56"/>
      <c r="N330" s="56"/>
    </row>
    <row r="331" spans="1:14" hidden="1" outlineLevel="1" x14ac:dyDescent="0.25">
      <c r="A331" s="42" t="s">
        <v>2155</v>
      </c>
      <c r="B331" s="64" t="s">
        <v>2154</v>
      </c>
      <c r="C331" s="64" t="s">
        <v>2159</v>
      </c>
      <c r="D331" s="66" t="s">
        <v>120</v>
      </c>
    </row>
    <row r="332" spans="1:14" hidden="1" outlineLevel="1" x14ac:dyDescent="0.25">
      <c r="A332" s="42" t="s">
        <v>2156</v>
      </c>
      <c r="B332" s="64" t="s">
        <v>2160</v>
      </c>
      <c r="C332" s="64" t="s">
        <v>2161</v>
      </c>
      <c r="D332" s="66" t="s">
        <v>120</v>
      </c>
    </row>
    <row r="333" spans="1:14" hidden="1" outlineLevel="1" x14ac:dyDescent="0.25">
      <c r="A333" s="42" t="s">
        <v>2157</v>
      </c>
      <c r="B333" s="64" t="s">
        <v>2162</v>
      </c>
      <c r="C333" s="64" t="s">
        <v>2163</v>
      </c>
      <c r="D333" s="66" t="s">
        <v>120</v>
      </c>
    </row>
    <row r="334" spans="1:14" hidden="1" outlineLevel="1" x14ac:dyDescent="0.25">
      <c r="A334" s="42" t="s">
        <v>2158</v>
      </c>
      <c r="B334" s="64" t="s">
        <v>2164</v>
      </c>
      <c r="C334" s="64" t="s">
        <v>2163</v>
      </c>
      <c r="D334" s="66" t="s">
        <v>120</v>
      </c>
    </row>
    <row r="335" spans="1:14" collapsed="1" x14ac:dyDescent="0.25">
      <c r="A335" s="203" t="s">
        <v>2347</v>
      </c>
      <c r="B335" s="203"/>
      <c r="C335" s="203"/>
      <c r="D335" s="203"/>
      <c r="E335" s="56"/>
      <c r="F335" s="56"/>
      <c r="G335" s="56"/>
      <c r="H335" s="56"/>
      <c r="I335" s="56"/>
      <c r="J335" s="56"/>
      <c r="K335" s="56"/>
      <c r="L335" s="56"/>
      <c r="M335" s="56"/>
      <c r="N335" s="56"/>
    </row>
    <row r="336" spans="1:14" ht="30" hidden="1" outlineLevel="1" x14ac:dyDescent="0.25">
      <c r="A336" s="42" t="s">
        <v>2165</v>
      </c>
      <c r="B336" s="64" t="s">
        <v>2202</v>
      </c>
      <c r="C336" s="64" t="s">
        <v>2203</v>
      </c>
      <c r="D336" s="66" t="s">
        <v>120</v>
      </c>
    </row>
    <row r="337" spans="1:4" hidden="1" outlineLevel="1" x14ac:dyDescent="0.25">
      <c r="A337" s="42" t="s">
        <v>2166</v>
      </c>
      <c r="B337" s="64" t="s">
        <v>2204</v>
      </c>
      <c r="C337" s="64" t="s">
        <v>2205</v>
      </c>
      <c r="D337" s="66" t="s">
        <v>120</v>
      </c>
    </row>
    <row r="338" spans="1:4" hidden="1" outlineLevel="1" x14ac:dyDescent="0.25">
      <c r="A338" s="42" t="s">
        <v>2167</v>
      </c>
      <c r="B338" s="64" t="s">
        <v>2206</v>
      </c>
      <c r="C338" s="64" t="s">
        <v>2207</v>
      </c>
      <c r="D338" s="66" t="s">
        <v>120</v>
      </c>
    </row>
    <row r="339" spans="1:4" hidden="1" outlineLevel="1" x14ac:dyDescent="0.25">
      <c r="A339" s="42" t="s">
        <v>2168</v>
      </c>
      <c r="B339" s="64" t="s">
        <v>2208</v>
      </c>
      <c r="C339" s="64" t="s">
        <v>2209</v>
      </c>
      <c r="D339" s="66" t="s">
        <v>120</v>
      </c>
    </row>
    <row r="340" spans="1:4" ht="30" hidden="1" outlineLevel="1" x14ac:dyDescent="0.25">
      <c r="A340" s="42" t="s">
        <v>2169</v>
      </c>
      <c r="B340" s="64" t="s">
        <v>2210</v>
      </c>
      <c r="C340" s="64" t="s">
        <v>2211</v>
      </c>
      <c r="D340" s="66" t="s">
        <v>120</v>
      </c>
    </row>
    <row r="341" spans="1:4" ht="30" hidden="1" outlineLevel="1" x14ac:dyDescent="0.25">
      <c r="A341" s="42" t="s">
        <v>2170</v>
      </c>
      <c r="B341" s="64" t="s">
        <v>2212</v>
      </c>
      <c r="C341" s="64" t="s">
        <v>2213</v>
      </c>
      <c r="D341" s="66" t="s">
        <v>120</v>
      </c>
    </row>
    <row r="342" spans="1:4" ht="30" hidden="1" outlineLevel="1" x14ac:dyDescent="0.25">
      <c r="A342" s="42" t="s">
        <v>2171</v>
      </c>
      <c r="B342" s="64" t="s">
        <v>2214</v>
      </c>
      <c r="C342" s="64" t="s">
        <v>2215</v>
      </c>
      <c r="D342" s="66" t="s">
        <v>120</v>
      </c>
    </row>
    <row r="343" spans="1:4" ht="30" hidden="1" outlineLevel="1" x14ac:dyDescent="0.25">
      <c r="A343" s="42" t="s">
        <v>2172</v>
      </c>
      <c r="B343" s="64" t="s">
        <v>2216</v>
      </c>
      <c r="C343" s="64" t="s">
        <v>2217</v>
      </c>
      <c r="D343" s="66" t="s">
        <v>120</v>
      </c>
    </row>
    <row r="344" spans="1:4" hidden="1" outlineLevel="1" x14ac:dyDescent="0.25">
      <c r="A344" s="42" t="s">
        <v>2173</v>
      </c>
      <c r="B344" s="64" t="s">
        <v>2218</v>
      </c>
      <c r="C344" s="64" t="s">
        <v>2219</v>
      </c>
      <c r="D344" s="66" t="s">
        <v>120</v>
      </c>
    </row>
    <row r="345" spans="1:4" ht="30" hidden="1" outlineLevel="1" x14ac:dyDescent="0.25">
      <c r="A345" s="42" t="s">
        <v>2174</v>
      </c>
      <c r="B345" s="64" t="s">
        <v>2220</v>
      </c>
      <c r="C345" s="64" t="s">
        <v>2221</v>
      </c>
      <c r="D345" s="66" t="s">
        <v>120</v>
      </c>
    </row>
    <row r="346" spans="1:4" ht="30" hidden="1" outlineLevel="1" x14ac:dyDescent="0.25">
      <c r="A346" s="42" t="s">
        <v>2175</v>
      </c>
      <c r="B346" s="64" t="s">
        <v>2222</v>
      </c>
      <c r="C346" s="64" t="s">
        <v>2223</v>
      </c>
      <c r="D346" s="66" t="s">
        <v>120</v>
      </c>
    </row>
    <row r="347" spans="1:4" ht="30" hidden="1" outlineLevel="1" x14ac:dyDescent="0.25">
      <c r="A347" s="42" t="s">
        <v>2176</v>
      </c>
      <c r="B347" s="64" t="s">
        <v>2224</v>
      </c>
      <c r="C347" s="64" t="s">
        <v>2225</v>
      </c>
      <c r="D347" s="66" t="s">
        <v>120</v>
      </c>
    </row>
    <row r="348" spans="1:4" ht="30" hidden="1" outlineLevel="1" x14ac:dyDescent="0.25">
      <c r="A348" s="42" t="s">
        <v>2177</v>
      </c>
      <c r="B348" s="64" t="s">
        <v>2226</v>
      </c>
      <c r="C348" s="64" t="s">
        <v>2225</v>
      </c>
      <c r="D348" s="66" t="s">
        <v>120</v>
      </c>
    </row>
    <row r="349" spans="1:4" ht="30" hidden="1" outlineLevel="1" x14ac:dyDescent="0.25">
      <c r="A349" s="42" t="s">
        <v>2178</v>
      </c>
      <c r="B349" s="64" t="s">
        <v>2227</v>
      </c>
      <c r="C349" s="64" t="s">
        <v>2225</v>
      </c>
      <c r="D349" s="66" t="s">
        <v>120</v>
      </c>
    </row>
    <row r="350" spans="1:4" ht="30" hidden="1" outlineLevel="1" x14ac:dyDescent="0.25">
      <c r="A350" s="42" t="s">
        <v>2179</v>
      </c>
      <c r="B350" s="64" t="s">
        <v>2228</v>
      </c>
      <c r="C350" s="64" t="s">
        <v>2225</v>
      </c>
      <c r="D350" s="66" t="s">
        <v>120</v>
      </c>
    </row>
    <row r="351" spans="1:4" ht="30" hidden="1" outlineLevel="1" x14ac:dyDescent="0.25">
      <c r="A351" s="42" t="s">
        <v>2180</v>
      </c>
      <c r="B351" s="64" t="s">
        <v>2229</v>
      </c>
      <c r="C351" s="64" t="s">
        <v>2225</v>
      </c>
      <c r="D351" s="66" t="s">
        <v>120</v>
      </c>
    </row>
    <row r="352" spans="1:4" ht="30" hidden="1" outlineLevel="1" x14ac:dyDescent="0.25">
      <c r="A352" s="42" t="s">
        <v>2181</v>
      </c>
      <c r="B352" s="64" t="s">
        <v>2230</v>
      </c>
      <c r="C352" s="64" t="s">
        <v>2225</v>
      </c>
      <c r="D352" s="66" t="s">
        <v>120</v>
      </c>
    </row>
    <row r="353" spans="1:4" ht="30" hidden="1" outlineLevel="1" x14ac:dyDescent="0.25">
      <c r="A353" s="42" t="s">
        <v>2182</v>
      </c>
      <c r="B353" s="64" t="s">
        <v>2231</v>
      </c>
      <c r="C353" s="64" t="s">
        <v>2232</v>
      </c>
      <c r="D353" s="66" t="s">
        <v>120</v>
      </c>
    </row>
    <row r="354" spans="1:4" ht="30" hidden="1" outlineLevel="1" x14ac:dyDescent="0.25">
      <c r="A354" s="42" t="s">
        <v>2183</v>
      </c>
      <c r="B354" s="64" t="s">
        <v>2233</v>
      </c>
      <c r="C354" s="64" t="s">
        <v>2232</v>
      </c>
      <c r="D354" s="66" t="s">
        <v>120</v>
      </c>
    </row>
    <row r="355" spans="1:4" ht="30" hidden="1" outlineLevel="1" x14ac:dyDescent="0.25">
      <c r="A355" s="42" t="s">
        <v>2184</v>
      </c>
      <c r="B355" s="64" t="s">
        <v>2234</v>
      </c>
      <c r="C355" s="64" t="s">
        <v>2232</v>
      </c>
      <c r="D355" s="66" t="s">
        <v>120</v>
      </c>
    </row>
    <row r="356" spans="1:4" hidden="1" outlineLevel="1" x14ac:dyDescent="0.25">
      <c r="A356" s="42" t="s">
        <v>2185</v>
      </c>
      <c r="B356" s="64" t="s">
        <v>2235</v>
      </c>
      <c r="C356" s="64" t="s">
        <v>2247</v>
      </c>
      <c r="D356" s="66" t="s">
        <v>120</v>
      </c>
    </row>
    <row r="357" spans="1:4" ht="30" hidden="1" outlineLevel="1" x14ac:dyDescent="0.25">
      <c r="A357" s="42" t="s">
        <v>2186</v>
      </c>
      <c r="B357" s="64" t="s">
        <v>2236</v>
      </c>
      <c r="C357" s="64" t="s">
        <v>2237</v>
      </c>
      <c r="D357" s="66" t="s">
        <v>120</v>
      </c>
    </row>
    <row r="358" spans="1:4" ht="30" hidden="1" outlineLevel="1" x14ac:dyDescent="0.25">
      <c r="A358" s="42" t="s">
        <v>2187</v>
      </c>
      <c r="B358" s="64" t="s">
        <v>2238</v>
      </c>
      <c r="C358" s="64" t="s">
        <v>2239</v>
      </c>
      <c r="D358" s="66" t="s">
        <v>120</v>
      </c>
    </row>
    <row r="359" spans="1:4" ht="30" hidden="1" outlineLevel="1" x14ac:dyDescent="0.25">
      <c r="A359" s="42" t="s">
        <v>2188</v>
      </c>
      <c r="B359" s="64" t="s">
        <v>2240</v>
      </c>
      <c r="C359" s="64" t="s">
        <v>2241</v>
      </c>
      <c r="D359" s="66" t="s">
        <v>120</v>
      </c>
    </row>
    <row r="360" spans="1:4" ht="30" hidden="1" outlineLevel="1" x14ac:dyDescent="0.25">
      <c r="A360" s="42" t="s">
        <v>2189</v>
      </c>
      <c r="B360" s="64" t="s">
        <v>2242</v>
      </c>
      <c r="C360" s="64" t="s">
        <v>2241</v>
      </c>
      <c r="D360" s="66" t="s">
        <v>120</v>
      </c>
    </row>
    <row r="361" spans="1:4" ht="30" hidden="1" outlineLevel="1" x14ac:dyDescent="0.25">
      <c r="A361" s="42" t="s">
        <v>2190</v>
      </c>
      <c r="B361" s="64" t="s">
        <v>2243</v>
      </c>
      <c r="C361" s="64" t="s">
        <v>2244</v>
      </c>
      <c r="D361" s="66" t="s">
        <v>120</v>
      </c>
    </row>
    <row r="362" spans="1:4" hidden="1" outlineLevel="1" x14ac:dyDescent="0.25">
      <c r="A362" s="42" t="s">
        <v>2191</v>
      </c>
      <c r="B362" s="64" t="s">
        <v>2245</v>
      </c>
      <c r="C362" s="64" t="s">
        <v>2246</v>
      </c>
      <c r="D362" s="66" t="s">
        <v>120</v>
      </c>
    </row>
    <row r="363" spans="1:4" hidden="1" outlineLevel="1" x14ac:dyDescent="0.25">
      <c r="A363" s="42" t="s">
        <v>2192</v>
      </c>
      <c r="B363" s="64" t="s">
        <v>2248</v>
      </c>
      <c r="C363" s="64" t="s">
        <v>2249</v>
      </c>
      <c r="D363" s="66" t="s">
        <v>120</v>
      </c>
    </row>
    <row r="364" spans="1:4" ht="30" hidden="1" outlineLevel="1" x14ac:dyDescent="0.25">
      <c r="A364" s="42" t="s">
        <v>2193</v>
      </c>
      <c r="B364" s="64" t="s">
        <v>2251</v>
      </c>
      <c r="C364" s="64" t="s">
        <v>2250</v>
      </c>
      <c r="D364" s="66" t="s">
        <v>120</v>
      </c>
    </row>
    <row r="365" spans="1:4" hidden="1" outlineLevel="1" x14ac:dyDescent="0.25">
      <c r="A365" s="42" t="s">
        <v>2194</v>
      </c>
      <c r="B365" s="64" t="s">
        <v>2252</v>
      </c>
      <c r="C365" s="64" t="s">
        <v>2253</v>
      </c>
      <c r="D365" s="66" t="s">
        <v>120</v>
      </c>
    </row>
    <row r="366" spans="1:4" ht="30" hidden="1" outlineLevel="1" x14ac:dyDescent="0.25">
      <c r="A366" s="42" t="s">
        <v>2195</v>
      </c>
      <c r="B366" s="64" t="s">
        <v>2254</v>
      </c>
      <c r="C366" s="64" t="s">
        <v>2255</v>
      </c>
      <c r="D366" s="66" t="s">
        <v>120</v>
      </c>
    </row>
    <row r="367" spans="1:4" ht="30" hidden="1" outlineLevel="1" x14ac:dyDescent="0.25">
      <c r="A367" s="42" t="s">
        <v>2196</v>
      </c>
      <c r="B367" s="64" t="s">
        <v>2256</v>
      </c>
      <c r="C367" s="64" t="s">
        <v>2255</v>
      </c>
      <c r="D367" s="66" t="s">
        <v>120</v>
      </c>
    </row>
    <row r="368" spans="1:4" ht="30" hidden="1" outlineLevel="1" x14ac:dyDescent="0.25">
      <c r="A368" s="42" t="s">
        <v>2197</v>
      </c>
      <c r="B368" s="64" t="s">
        <v>2257</v>
      </c>
      <c r="C368" s="64" t="s">
        <v>2255</v>
      </c>
      <c r="D368" s="66" t="s">
        <v>120</v>
      </c>
    </row>
    <row r="369" spans="1:14" ht="30" hidden="1" outlineLevel="1" x14ac:dyDescent="0.25">
      <c r="A369" s="42" t="s">
        <v>2198</v>
      </c>
      <c r="B369" s="64" t="s">
        <v>2258</v>
      </c>
      <c r="C369" s="64" t="s">
        <v>2255</v>
      </c>
      <c r="D369" s="66" t="s">
        <v>120</v>
      </c>
    </row>
    <row r="370" spans="1:14" ht="30" hidden="1" outlineLevel="1" x14ac:dyDescent="0.25">
      <c r="A370" s="42" t="s">
        <v>2199</v>
      </c>
      <c r="B370" s="64" t="s">
        <v>2259</v>
      </c>
      <c r="C370" s="64" t="s">
        <v>2260</v>
      </c>
      <c r="D370" s="66" t="s">
        <v>120</v>
      </c>
    </row>
    <row r="371" spans="1:14" ht="30" hidden="1" outlineLevel="1" x14ac:dyDescent="0.25">
      <c r="A371" s="42" t="s">
        <v>2200</v>
      </c>
      <c r="B371" s="64" t="s">
        <v>2261</v>
      </c>
      <c r="C371" s="64" t="s">
        <v>2262</v>
      </c>
      <c r="D371" s="66" t="s">
        <v>120</v>
      </c>
    </row>
    <row r="372" spans="1:14" ht="30" hidden="1" outlineLevel="1" x14ac:dyDescent="0.25">
      <c r="A372" s="42" t="s">
        <v>2201</v>
      </c>
      <c r="B372" s="64" t="s">
        <v>2263</v>
      </c>
      <c r="C372" s="64" t="s">
        <v>2264</v>
      </c>
      <c r="D372" s="66" t="s">
        <v>120</v>
      </c>
    </row>
    <row r="373" spans="1:14" collapsed="1" x14ac:dyDescent="0.25">
      <c r="A373" s="203" t="s">
        <v>2348</v>
      </c>
      <c r="B373" s="203"/>
      <c r="C373" s="203"/>
      <c r="D373" s="203"/>
      <c r="E373" s="56"/>
      <c r="F373" s="56"/>
      <c r="G373" s="56"/>
      <c r="H373" s="56"/>
      <c r="I373" s="56"/>
      <c r="J373" s="56"/>
      <c r="K373" s="56"/>
      <c r="L373" s="56"/>
      <c r="M373" s="56"/>
      <c r="N373" s="56"/>
    </row>
    <row r="374" spans="1:14" hidden="1" outlineLevel="1" x14ac:dyDescent="0.25">
      <c r="A374" s="42" t="s">
        <v>2267</v>
      </c>
      <c r="B374" s="64" t="s">
        <v>2265</v>
      </c>
      <c r="C374" s="64" t="s">
        <v>2266</v>
      </c>
      <c r="D374" s="66" t="s">
        <v>2458</v>
      </c>
    </row>
    <row r="375" spans="1:14" hidden="1" outlineLevel="1" x14ac:dyDescent="0.25">
      <c r="A375" s="42" t="s">
        <v>2268</v>
      </c>
      <c r="B375" s="64" t="s">
        <v>2277</v>
      </c>
      <c r="C375" s="64" t="s">
        <v>2266</v>
      </c>
      <c r="D375" s="66" t="s">
        <v>2458</v>
      </c>
    </row>
    <row r="376" spans="1:14" hidden="1" outlineLevel="1" x14ac:dyDescent="0.25">
      <c r="A376" s="42" t="s">
        <v>2269</v>
      </c>
      <c r="B376" s="64" t="s">
        <v>2278</v>
      </c>
      <c r="C376" s="64" t="s">
        <v>2266</v>
      </c>
      <c r="D376" s="66" t="s">
        <v>2458</v>
      </c>
    </row>
    <row r="377" spans="1:14" ht="30" hidden="1" outlineLevel="1" x14ac:dyDescent="0.25">
      <c r="A377" s="42" t="s">
        <v>2270</v>
      </c>
      <c r="B377" s="64" t="s">
        <v>2279</v>
      </c>
      <c r="C377" s="64" t="s">
        <v>2280</v>
      </c>
      <c r="D377" s="66" t="s">
        <v>2458</v>
      </c>
    </row>
    <row r="378" spans="1:14" ht="60" hidden="1" outlineLevel="1" x14ac:dyDescent="0.25">
      <c r="A378" s="42" t="s">
        <v>2271</v>
      </c>
      <c r="B378" s="64" t="s">
        <v>2281</v>
      </c>
      <c r="C378" s="64" t="s">
        <v>2282</v>
      </c>
      <c r="D378" s="66" t="s">
        <v>2458</v>
      </c>
    </row>
    <row r="379" spans="1:14" ht="60" hidden="1" outlineLevel="1" x14ac:dyDescent="0.25">
      <c r="A379" s="42" t="s">
        <v>2272</v>
      </c>
      <c r="B379" s="64" t="s">
        <v>2283</v>
      </c>
      <c r="C379" s="64" t="s">
        <v>2282</v>
      </c>
      <c r="D379" s="66" t="s">
        <v>2458</v>
      </c>
    </row>
    <row r="380" spans="1:14" ht="60" hidden="1" outlineLevel="1" x14ac:dyDescent="0.25">
      <c r="A380" s="42" t="s">
        <v>2273</v>
      </c>
      <c r="B380" s="64" t="s">
        <v>2284</v>
      </c>
      <c r="C380" s="64" t="s">
        <v>2282</v>
      </c>
      <c r="D380" s="66" t="s">
        <v>2458</v>
      </c>
    </row>
    <row r="381" spans="1:14" ht="30" hidden="1" outlineLevel="1" x14ac:dyDescent="0.25">
      <c r="A381" s="42" t="s">
        <v>2274</v>
      </c>
      <c r="B381" s="64" t="s">
        <v>2285</v>
      </c>
      <c r="C381" s="64" t="s">
        <v>2286</v>
      </c>
      <c r="D381" s="66" t="s">
        <v>2458</v>
      </c>
    </row>
    <row r="382" spans="1:14" ht="30" hidden="1" outlineLevel="1" x14ac:dyDescent="0.25">
      <c r="A382" s="42" t="s">
        <v>2275</v>
      </c>
      <c r="B382" s="64" t="s">
        <v>2287</v>
      </c>
      <c r="C382" s="64" t="s">
        <v>2286</v>
      </c>
      <c r="D382" s="66" t="s">
        <v>2458</v>
      </c>
    </row>
    <row r="383" spans="1:14" ht="30" hidden="1" outlineLevel="1" x14ac:dyDescent="0.25">
      <c r="A383" s="42" t="s">
        <v>2276</v>
      </c>
      <c r="B383" s="64" t="s">
        <v>2288</v>
      </c>
      <c r="C383" s="64" t="s">
        <v>2286</v>
      </c>
      <c r="D383" s="66" t="s">
        <v>2458</v>
      </c>
    </row>
    <row r="384" spans="1:14" collapsed="1" x14ac:dyDescent="0.25">
      <c r="A384" s="203" t="s">
        <v>2349</v>
      </c>
      <c r="B384" s="203"/>
      <c r="C384" s="203"/>
      <c r="D384" s="203"/>
      <c r="E384" s="56"/>
      <c r="F384" s="56"/>
      <c r="G384" s="56"/>
      <c r="H384" s="56"/>
      <c r="I384" s="56"/>
      <c r="J384" s="56"/>
      <c r="K384" s="56"/>
      <c r="L384" s="56"/>
      <c r="M384" s="56"/>
      <c r="N384" s="56"/>
    </row>
    <row r="385" spans="1:14" ht="30" hidden="1" outlineLevel="1" x14ac:dyDescent="0.25">
      <c r="A385" s="42" t="s">
        <v>2290</v>
      </c>
      <c r="B385" s="64" t="s">
        <v>2289</v>
      </c>
      <c r="C385" s="64" t="s">
        <v>2293</v>
      </c>
      <c r="D385" s="66" t="s">
        <v>2458</v>
      </c>
    </row>
    <row r="386" spans="1:14" ht="30" hidden="1" outlineLevel="1" x14ac:dyDescent="0.25">
      <c r="A386" s="42" t="s">
        <v>2291</v>
      </c>
      <c r="B386" s="64" t="s">
        <v>2294</v>
      </c>
      <c r="C386" s="64" t="s">
        <v>2295</v>
      </c>
      <c r="D386" s="66" t="s">
        <v>2458</v>
      </c>
    </row>
    <row r="387" spans="1:14" ht="45" hidden="1" outlineLevel="1" x14ac:dyDescent="0.25">
      <c r="A387" s="42" t="s">
        <v>2292</v>
      </c>
      <c r="B387" s="64" t="s">
        <v>2296</v>
      </c>
      <c r="C387" s="64" t="s">
        <v>2297</v>
      </c>
      <c r="D387" s="66" t="s">
        <v>2458</v>
      </c>
    </row>
    <row r="388" spans="1:14" collapsed="1" x14ac:dyDescent="0.25">
      <c r="A388" s="209" t="s">
        <v>2350</v>
      </c>
      <c r="B388" s="209"/>
      <c r="C388" s="209"/>
      <c r="D388" s="209"/>
      <c r="E388" s="56"/>
      <c r="F388" s="56"/>
      <c r="G388" s="56"/>
      <c r="H388" s="56"/>
      <c r="I388" s="56"/>
      <c r="J388" s="56"/>
      <c r="K388" s="56"/>
      <c r="L388" s="56"/>
      <c r="M388" s="56"/>
      <c r="N388" s="56"/>
    </row>
    <row r="389" spans="1:14" x14ac:dyDescent="0.25">
      <c r="A389" s="208" t="s">
        <v>2351</v>
      </c>
      <c r="B389" s="208"/>
      <c r="C389" s="208"/>
      <c r="D389" s="208"/>
      <c r="E389" s="56"/>
      <c r="F389" s="56"/>
      <c r="G389" s="56"/>
      <c r="H389" s="56"/>
      <c r="I389" s="56"/>
      <c r="J389" s="56"/>
      <c r="K389" s="56"/>
      <c r="L389" s="56"/>
      <c r="M389" s="56"/>
      <c r="N389" s="56"/>
    </row>
    <row r="390" spans="1:14" ht="30" hidden="1" outlineLevel="1" x14ac:dyDescent="0.25">
      <c r="A390" s="42" t="s">
        <v>1828</v>
      </c>
      <c r="B390" s="64" t="s">
        <v>2035</v>
      </c>
      <c r="C390" s="64" t="s">
        <v>2036</v>
      </c>
      <c r="D390" s="66" t="s">
        <v>2458</v>
      </c>
    </row>
    <row r="391" spans="1:14" ht="30" hidden="1" outlineLevel="1" x14ac:dyDescent="0.25">
      <c r="A391" s="42" t="s">
        <v>1829</v>
      </c>
      <c r="B391" s="64" t="s">
        <v>2037</v>
      </c>
      <c r="C391" s="64" t="s">
        <v>2040</v>
      </c>
      <c r="D391" s="66" t="s">
        <v>2458</v>
      </c>
    </row>
    <row r="392" spans="1:14" ht="30" hidden="1" outlineLevel="1" x14ac:dyDescent="0.25">
      <c r="A392" s="42" t="s">
        <v>1830</v>
      </c>
      <c r="B392" s="64" t="s">
        <v>2038</v>
      </c>
      <c r="C392" s="64" t="s">
        <v>2039</v>
      </c>
      <c r="D392" s="66" t="s">
        <v>2458</v>
      </c>
    </row>
    <row r="393" spans="1:14" ht="30" hidden="1" outlineLevel="1" x14ac:dyDescent="0.25">
      <c r="A393" s="42" t="s">
        <v>1831</v>
      </c>
      <c r="B393" s="64" t="s">
        <v>2041</v>
      </c>
      <c r="C393" s="64" t="s">
        <v>2042</v>
      </c>
      <c r="D393" s="66" t="s">
        <v>2458</v>
      </c>
    </row>
    <row r="394" spans="1:14" ht="45" hidden="1" outlineLevel="1" x14ac:dyDescent="0.25">
      <c r="A394" s="42" t="s">
        <v>1832</v>
      </c>
      <c r="B394" s="64" t="s">
        <v>2043</v>
      </c>
      <c r="C394" s="64" t="s">
        <v>2044</v>
      </c>
      <c r="D394" s="66" t="s">
        <v>2458</v>
      </c>
    </row>
    <row r="395" spans="1:14" ht="30" hidden="1" outlineLevel="1" x14ac:dyDescent="0.25">
      <c r="A395" s="42" t="s">
        <v>1833</v>
      </c>
      <c r="B395" s="64" t="s">
        <v>2045</v>
      </c>
      <c r="C395" s="64" t="s">
        <v>2046</v>
      </c>
      <c r="D395" s="66" t="s">
        <v>2458</v>
      </c>
    </row>
    <row r="396" spans="1:14" ht="45" hidden="1" outlineLevel="1" x14ac:dyDescent="0.25">
      <c r="A396" s="42" t="s">
        <v>1834</v>
      </c>
      <c r="B396" s="64" t="s">
        <v>2047</v>
      </c>
      <c r="C396" s="64" t="s">
        <v>2048</v>
      </c>
      <c r="D396" s="66" t="s">
        <v>2458</v>
      </c>
    </row>
    <row r="397" spans="1:14" ht="30" hidden="1" outlineLevel="1" x14ac:dyDescent="0.25">
      <c r="A397" s="42" t="s">
        <v>1835</v>
      </c>
      <c r="B397" s="64" t="s">
        <v>2049</v>
      </c>
      <c r="C397" s="64" t="s">
        <v>2050</v>
      </c>
      <c r="D397" s="66" t="s">
        <v>2458</v>
      </c>
    </row>
    <row r="398" spans="1:14" ht="30" hidden="1" outlineLevel="1" x14ac:dyDescent="0.25">
      <c r="A398" s="42" t="s">
        <v>1836</v>
      </c>
      <c r="B398" s="64" t="s">
        <v>2051</v>
      </c>
      <c r="C398" s="64" t="s">
        <v>2052</v>
      </c>
      <c r="D398" s="66" t="s">
        <v>2458</v>
      </c>
    </row>
    <row r="399" spans="1:14" ht="30" hidden="1" outlineLevel="1" x14ac:dyDescent="0.25">
      <c r="A399" s="42" t="s">
        <v>1837</v>
      </c>
      <c r="B399" s="64" t="s">
        <v>2053</v>
      </c>
      <c r="C399" s="64" t="s">
        <v>2054</v>
      </c>
      <c r="D399" s="66" t="s">
        <v>2458</v>
      </c>
    </row>
    <row r="400" spans="1:14" ht="45" hidden="1" outlineLevel="1" x14ac:dyDescent="0.25">
      <c r="A400" s="42" t="s">
        <v>1838</v>
      </c>
      <c r="B400" s="64" t="s">
        <v>2055</v>
      </c>
      <c r="C400" s="64" t="s">
        <v>2056</v>
      </c>
      <c r="D400" s="66" t="s">
        <v>2458</v>
      </c>
    </row>
    <row r="401" spans="1:14" ht="30" hidden="1" outlineLevel="1" x14ac:dyDescent="0.25">
      <c r="A401" s="42" t="s">
        <v>1839</v>
      </c>
      <c r="B401" s="64" t="s">
        <v>2057</v>
      </c>
      <c r="C401" s="64" t="s">
        <v>2058</v>
      </c>
      <c r="D401" s="66" t="s">
        <v>2458</v>
      </c>
    </row>
    <row r="402" spans="1:14" ht="30" hidden="1" outlineLevel="1" x14ac:dyDescent="0.25">
      <c r="A402" s="42" t="s">
        <v>1840</v>
      </c>
      <c r="B402" s="64" t="s">
        <v>2059</v>
      </c>
      <c r="C402" s="64" t="s">
        <v>2060</v>
      </c>
      <c r="D402" s="66" t="s">
        <v>2458</v>
      </c>
    </row>
    <row r="403" spans="1:14" collapsed="1" x14ac:dyDescent="0.25">
      <c r="A403" s="208" t="s">
        <v>2352</v>
      </c>
      <c r="B403" s="208"/>
      <c r="C403" s="208"/>
      <c r="D403" s="208"/>
      <c r="E403" s="56"/>
      <c r="F403" s="56"/>
      <c r="G403" s="56"/>
      <c r="H403" s="56"/>
      <c r="I403" s="56"/>
      <c r="J403" s="56"/>
      <c r="K403" s="56"/>
      <c r="L403" s="56"/>
      <c r="M403" s="56"/>
      <c r="N403" s="56"/>
    </row>
    <row r="404" spans="1:14" hidden="1" outlineLevel="1" x14ac:dyDescent="0.25">
      <c r="A404" s="42" t="s">
        <v>1841</v>
      </c>
      <c r="B404" s="64" t="s">
        <v>2061</v>
      </c>
      <c r="C404" s="64"/>
      <c r="D404" s="66" t="s">
        <v>2458</v>
      </c>
    </row>
    <row r="405" spans="1:14" hidden="1" outlineLevel="1" x14ac:dyDescent="0.25">
      <c r="A405" s="42" t="s">
        <v>1842</v>
      </c>
      <c r="B405" s="64" t="s">
        <v>2062</v>
      </c>
      <c r="C405" s="64" t="s">
        <v>2063</v>
      </c>
      <c r="D405" s="66" t="s">
        <v>2458</v>
      </c>
    </row>
    <row r="406" spans="1:14" ht="30" hidden="1" outlineLevel="1" x14ac:dyDescent="0.25">
      <c r="A406" s="42" t="s">
        <v>1843</v>
      </c>
      <c r="B406" s="64" t="s">
        <v>2064</v>
      </c>
      <c r="C406" s="64" t="s">
        <v>2065</v>
      </c>
      <c r="D406" s="66" t="s">
        <v>2458</v>
      </c>
    </row>
    <row r="407" spans="1:14" ht="45" hidden="1" outlineLevel="1" x14ac:dyDescent="0.25">
      <c r="A407" s="42" t="s">
        <v>1844</v>
      </c>
      <c r="B407" s="64" t="s">
        <v>2066</v>
      </c>
      <c r="C407" s="64" t="s">
        <v>2067</v>
      </c>
      <c r="D407" s="66" t="s">
        <v>2458</v>
      </c>
    </row>
    <row r="408" spans="1:14" hidden="1" outlineLevel="1" x14ac:dyDescent="0.25">
      <c r="A408" s="42" t="s">
        <v>1845</v>
      </c>
      <c r="B408" s="64" t="s">
        <v>2068</v>
      </c>
      <c r="C408" s="64" t="s">
        <v>2069</v>
      </c>
      <c r="D408" s="63" t="s">
        <v>82</v>
      </c>
    </row>
    <row r="409" spans="1:14" hidden="1" outlineLevel="1" x14ac:dyDescent="0.25">
      <c r="A409" s="42" t="s">
        <v>1846</v>
      </c>
      <c r="B409" s="64" t="s">
        <v>2070</v>
      </c>
      <c r="C409" s="64" t="s">
        <v>2071</v>
      </c>
      <c r="D409" s="66" t="s">
        <v>2458</v>
      </c>
    </row>
    <row r="410" spans="1:14" ht="45" hidden="1" outlineLevel="1" x14ac:dyDescent="0.25">
      <c r="A410" s="42" t="s">
        <v>1847</v>
      </c>
      <c r="B410" s="64" t="s">
        <v>2072</v>
      </c>
      <c r="C410" s="64" t="s">
        <v>2073</v>
      </c>
      <c r="D410" s="66" t="s">
        <v>82</v>
      </c>
    </row>
    <row r="411" spans="1:14" ht="30" hidden="1" outlineLevel="1" x14ac:dyDescent="0.25">
      <c r="A411" s="42" t="s">
        <v>1848</v>
      </c>
      <c r="B411" s="64" t="s">
        <v>2074</v>
      </c>
      <c r="C411" s="64" t="s">
        <v>2075</v>
      </c>
      <c r="D411" s="66" t="s">
        <v>2458</v>
      </c>
    </row>
    <row r="412" spans="1:14" ht="60" hidden="1" outlineLevel="1" x14ac:dyDescent="0.25">
      <c r="A412" s="42" t="s">
        <v>1849</v>
      </c>
      <c r="B412" s="64" t="s">
        <v>2076</v>
      </c>
      <c r="C412" s="64" t="s">
        <v>2077</v>
      </c>
      <c r="D412" s="66" t="s">
        <v>2458</v>
      </c>
    </row>
    <row r="413" spans="1:14" ht="30" hidden="1" outlineLevel="1" x14ac:dyDescent="0.25">
      <c r="A413" s="42" t="s">
        <v>1850</v>
      </c>
      <c r="B413" s="64" t="s">
        <v>2078</v>
      </c>
      <c r="C413" s="64" t="s">
        <v>2079</v>
      </c>
      <c r="D413" s="66" t="s">
        <v>2458</v>
      </c>
    </row>
    <row r="414" spans="1:14" collapsed="1" x14ac:dyDescent="0.25"/>
  </sheetData>
  <mergeCells count="69">
    <mergeCell ref="A305:D305"/>
    <mergeCell ref="A282:D282"/>
    <mergeCell ref="A291:D291"/>
    <mergeCell ref="A295:D295"/>
    <mergeCell ref="A296:D296"/>
    <mergeCell ref="A297:D297"/>
    <mergeCell ref="A298:D298"/>
    <mergeCell ref="A275:D275"/>
    <mergeCell ref="A246:D246"/>
    <mergeCell ref="A252:D252"/>
    <mergeCell ref="A202:D202"/>
    <mergeCell ref="A233:D233"/>
    <mergeCell ref="A208:D208"/>
    <mergeCell ref="A209:D209"/>
    <mergeCell ref="A241:D241"/>
    <mergeCell ref="A242:D242"/>
    <mergeCell ref="A251:D251"/>
    <mergeCell ref="A256:D256"/>
    <mergeCell ref="A265:D265"/>
    <mergeCell ref="A269:D269"/>
    <mergeCell ref="A274:D274"/>
    <mergeCell ref="A161:D161"/>
    <mergeCell ref="A165:D165"/>
    <mergeCell ref="A172:D172"/>
    <mergeCell ref="A201:D201"/>
    <mergeCell ref="A173:D173"/>
    <mergeCell ref="A192:D192"/>
    <mergeCell ref="A140:D140"/>
    <mergeCell ref="A143:D143"/>
    <mergeCell ref="A147:D147"/>
    <mergeCell ref="A160:D160"/>
    <mergeCell ref="A158:D158"/>
    <mergeCell ref="A148:D148"/>
    <mergeCell ref="A2:D2"/>
    <mergeCell ref="A16:D16"/>
    <mergeCell ref="A45:D45"/>
    <mergeCell ref="A50:D50"/>
    <mergeCell ref="A51:D51"/>
    <mergeCell ref="A22:D22"/>
    <mergeCell ref="A27:D27"/>
    <mergeCell ref="A31:D31"/>
    <mergeCell ref="A35:D35"/>
    <mergeCell ref="A40:D40"/>
    <mergeCell ref="A3:D3"/>
    <mergeCell ref="A4:D4"/>
    <mergeCell ref="A17:D17"/>
    <mergeCell ref="A61:D61"/>
    <mergeCell ref="A72:D72"/>
    <mergeCell ref="A86:D86"/>
    <mergeCell ref="A63:D63"/>
    <mergeCell ref="A64:D64"/>
    <mergeCell ref="A69:D69"/>
    <mergeCell ref="A105:D105"/>
    <mergeCell ref="A106:D106"/>
    <mergeCell ref="A130:D130"/>
    <mergeCell ref="A138:D138"/>
    <mergeCell ref="A93:D93"/>
    <mergeCell ref="A137:D137"/>
    <mergeCell ref="A310:D310"/>
    <mergeCell ref="A322:D322"/>
    <mergeCell ref="A324:D324"/>
    <mergeCell ref="A325:D325"/>
    <mergeCell ref="A330:D330"/>
    <mergeCell ref="A403:D403"/>
    <mergeCell ref="A335:D335"/>
    <mergeCell ref="A373:D373"/>
    <mergeCell ref="A384:D384"/>
    <mergeCell ref="A388:D388"/>
    <mergeCell ref="A389:D389"/>
  </mergeCells>
  <phoneticPr fontId="20"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96"/>
  <sheetViews>
    <sheetView zoomScale="90" zoomScaleNormal="90" workbookViewId="0">
      <pane xSplit="1" ySplit="1" topLeftCell="B83" activePane="bottomRight" state="frozen"/>
      <selection pane="topRight" activeCell="B1" sqref="B1"/>
      <selection pane="bottomLeft" activeCell="A2" sqref="A2"/>
      <selection pane="bottomRight" activeCell="A198" sqref="A198:D198"/>
    </sheetView>
  </sheetViews>
  <sheetFormatPr defaultColWidth="8.7109375" defaultRowHeight="15" outlineLevelRow="1" x14ac:dyDescent="0.25"/>
  <cols>
    <col min="1" max="1" width="12.5703125" style="59" customWidth="1"/>
    <col min="2" max="2" width="97.85546875" style="62" customWidth="1"/>
    <col min="3" max="3" width="124.7109375" style="62" bestFit="1" customWidth="1"/>
    <col min="4" max="4" width="33.7109375" style="12" customWidth="1"/>
    <col min="5" max="5" width="10.28515625" style="70" bestFit="1" customWidth="1"/>
    <col min="6" max="16384" width="8.7109375" style="7"/>
  </cols>
  <sheetData>
    <row r="1" spans="1:14" ht="33" x14ac:dyDescent="0.25">
      <c r="A1" s="82" t="s">
        <v>572</v>
      </c>
      <c r="B1" s="83" t="s">
        <v>36</v>
      </c>
      <c r="C1" s="82" t="s">
        <v>48</v>
      </c>
      <c r="D1" s="83" t="s">
        <v>573</v>
      </c>
    </row>
    <row r="2" spans="1:14" x14ac:dyDescent="0.25">
      <c r="A2" s="209" t="s">
        <v>1440</v>
      </c>
      <c r="B2" s="209"/>
      <c r="C2" s="209"/>
      <c r="D2" s="209"/>
      <c r="F2" s="56"/>
      <c r="G2" s="56"/>
      <c r="H2" s="56"/>
      <c r="I2" s="56"/>
      <c r="J2" s="56"/>
      <c r="K2" s="56"/>
      <c r="L2" s="56"/>
      <c r="M2" s="56"/>
      <c r="N2" s="56"/>
    </row>
    <row r="3" spans="1:14" x14ac:dyDescent="0.25">
      <c r="A3" s="208" t="s">
        <v>1441</v>
      </c>
      <c r="B3" s="208"/>
      <c r="C3" s="208"/>
      <c r="D3" s="208"/>
      <c r="F3" s="56"/>
      <c r="G3" s="56"/>
      <c r="H3" s="56"/>
      <c r="I3" s="56"/>
      <c r="J3" s="56"/>
      <c r="K3" s="56"/>
      <c r="L3" s="56"/>
      <c r="M3" s="56"/>
      <c r="N3" s="56"/>
    </row>
    <row r="4" spans="1:14" x14ac:dyDescent="0.25">
      <c r="A4" s="203" t="s">
        <v>1442</v>
      </c>
      <c r="B4" s="203"/>
      <c r="C4" s="203"/>
      <c r="D4" s="203"/>
      <c r="F4" s="56"/>
      <c r="G4" s="56"/>
      <c r="H4" s="56"/>
      <c r="I4" s="56"/>
      <c r="J4" s="56"/>
      <c r="K4" s="56"/>
      <c r="L4" s="56"/>
      <c r="M4" s="56"/>
      <c r="N4" s="56"/>
    </row>
    <row r="5" spans="1:14" ht="30" hidden="1" outlineLevel="1" x14ac:dyDescent="0.25">
      <c r="A5" s="42" t="s">
        <v>1361</v>
      </c>
      <c r="B5" s="64" t="s">
        <v>1360</v>
      </c>
      <c r="C5" s="64" t="s">
        <v>1381</v>
      </c>
      <c r="D5" s="66" t="s">
        <v>2458</v>
      </c>
    </row>
    <row r="6" spans="1:14" ht="30" hidden="1" outlineLevel="1" x14ac:dyDescent="0.25">
      <c r="A6" s="42" t="s">
        <v>1362</v>
      </c>
      <c r="B6" s="64" t="s">
        <v>1372</v>
      </c>
      <c r="C6" s="64" t="s">
        <v>1381</v>
      </c>
      <c r="D6" s="66" t="s">
        <v>2458</v>
      </c>
    </row>
    <row r="7" spans="1:14" ht="30" hidden="1" outlineLevel="1" x14ac:dyDescent="0.25">
      <c r="A7" s="42" t="s">
        <v>1363</v>
      </c>
      <c r="B7" s="64" t="s">
        <v>1373</v>
      </c>
      <c r="C7" s="64" t="s">
        <v>1381</v>
      </c>
      <c r="D7" s="66" t="s">
        <v>2458</v>
      </c>
    </row>
    <row r="8" spans="1:14" ht="30" hidden="1" outlineLevel="1" x14ac:dyDescent="0.25">
      <c r="A8" s="42" t="s">
        <v>1364</v>
      </c>
      <c r="B8" s="64" t="s">
        <v>1374</v>
      </c>
      <c r="C8" s="64" t="s">
        <v>1381</v>
      </c>
      <c r="D8" s="66" t="s">
        <v>2458</v>
      </c>
    </row>
    <row r="9" spans="1:14" ht="30" hidden="1" outlineLevel="1" x14ac:dyDescent="0.25">
      <c r="A9" s="42" t="s">
        <v>1365</v>
      </c>
      <c r="B9" s="64" t="s">
        <v>1375</v>
      </c>
      <c r="C9" s="64" t="s">
        <v>1381</v>
      </c>
      <c r="D9" s="66" t="s">
        <v>2458</v>
      </c>
    </row>
    <row r="10" spans="1:14" ht="30" hidden="1" outlineLevel="1" x14ac:dyDescent="0.25">
      <c r="A10" s="42" t="s">
        <v>1366</v>
      </c>
      <c r="B10" s="64" t="s">
        <v>1376</v>
      </c>
      <c r="C10" s="61" t="s">
        <v>1382</v>
      </c>
      <c r="D10" s="66" t="s">
        <v>2458</v>
      </c>
    </row>
    <row r="11" spans="1:14" ht="30" hidden="1" outlineLevel="1" x14ac:dyDescent="0.25">
      <c r="A11" s="42" t="s">
        <v>1367</v>
      </c>
      <c r="B11" s="64" t="s">
        <v>1377</v>
      </c>
      <c r="C11" s="64" t="s">
        <v>1381</v>
      </c>
      <c r="D11" s="66" t="s">
        <v>2458</v>
      </c>
    </row>
    <row r="12" spans="1:14" ht="30" hidden="1" outlineLevel="1" x14ac:dyDescent="0.25">
      <c r="A12" s="42" t="s">
        <v>1368</v>
      </c>
      <c r="B12" s="64" t="s">
        <v>1378</v>
      </c>
      <c r="C12" s="64" t="s">
        <v>1381</v>
      </c>
      <c r="D12" s="66" t="s">
        <v>2458</v>
      </c>
    </row>
    <row r="13" spans="1:14" hidden="1" outlineLevel="1" x14ac:dyDescent="0.25">
      <c r="A13" s="42" t="s">
        <v>1369</v>
      </c>
      <c r="B13" s="64" t="s">
        <v>1379</v>
      </c>
      <c r="C13" s="64" t="s">
        <v>1380</v>
      </c>
      <c r="D13" s="66" t="s">
        <v>2458</v>
      </c>
    </row>
    <row r="14" spans="1:14" ht="30" hidden="1" outlineLevel="1" x14ac:dyDescent="0.25">
      <c r="A14" s="42" t="s">
        <v>1370</v>
      </c>
      <c r="B14" s="64" t="s">
        <v>1383</v>
      </c>
      <c r="C14" s="64" t="s">
        <v>1384</v>
      </c>
      <c r="D14" s="66" t="s">
        <v>2458</v>
      </c>
    </row>
    <row r="15" spans="1:14" ht="30" hidden="1" outlineLevel="1" x14ac:dyDescent="0.25">
      <c r="A15" s="42" t="s">
        <v>1371</v>
      </c>
      <c r="B15" s="64" t="s">
        <v>1385</v>
      </c>
      <c r="C15" s="64" t="s">
        <v>1381</v>
      </c>
      <c r="D15" s="66" t="s">
        <v>2458</v>
      </c>
    </row>
    <row r="16" spans="1:14" collapsed="1" x14ac:dyDescent="0.25">
      <c r="A16" s="203" t="s">
        <v>1443</v>
      </c>
      <c r="B16" s="203"/>
      <c r="C16" s="203"/>
      <c r="D16" s="203"/>
      <c r="F16" s="56"/>
      <c r="G16" s="56"/>
      <c r="H16" s="56"/>
      <c r="I16" s="56"/>
      <c r="J16" s="56"/>
      <c r="K16" s="56"/>
      <c r="L16" s="56"/>
      <c r="M16" s="56"/>
      <c r="N16" s="56"/>
    </row>
    <row r="17" spans="1:4" x14ac:dyDescent="0.25">
      <c r="A17" s="207" t="s">
        <v>1444</v>
      </c>
      <c r="B17" s="207"/>
      <c r="C17" s="207"/>
      <c r="D17" s="207"/>
    </row>
    <row r="18" spans="1:4" ht="60" hidden="1" outlineLevel="1" x14ac:dyDescent="0.25">
      <c r="A18" s="42" t="s">
        <v>1388</v>
      </c>
      <c r="B18" s="64" t="s">
        <v>1386</v>
      </c>
      <c r="C18" s="64" t="s">
        <v>1387</v>
      </c>
      <c r="D18" s="66" t="s">
        <v>2458</v>
      </c>
    </row>
    <row r="19" spans="1:4" ht="30" hidden="1" outlineLevel="1" x14ac:dyDescent="0.25">
      <c r="A19" s="42" t="s">
        <v>1389</v>
      </c>
      <c r="B19" s="64" t="s">
        <v>1392</v>
      </c>
      <c r="C19" s="64" t="s">
        <v>1393</v>
      </c>
      <c r="D19" s="66" t="s">
        <v>2458</v>
      </c>
    </row>
    <row r="20" spans="1:4" ht="30" hidden="1" outlineLevel="1" x14ac:dyDescent="0.25">
      <c r="A20" s="42" t="s">
        <v>1390</v>
      </c>
      <c r="B20" s="64" t="s">
        <v>1395</v>
      </c>
      <c r="C20" s="64" t="s">
        <v>1394</v>
      </c>
      <c r="D20" s="66" t="s">
        <v>2458</v>
      </c>
    </row>
    <row r="21" spans="1:4" ht="30" hidden="1" outlineLevel="1" x14ac:dyDescent="0.25">
      <c r="A21" s="42" t="s">
        <v>1391</v>
      </c>
      <c r="B21" s="64" t="s">
        <v>1396</v>
      </c>
      <c r="C21" s="64" t="s">
        <v>1397</v>
      </c>
      <c r="D21" s="66" t="s">
        <v>2458</v>
      </c>
    </row>
    <row r="22" spans="1:4" collapsed="1" x14ac:dyDescent="0.25">
      <c r="A22" s="207" t="s">
        <v>1445</v>
      </c>
      <c r="B22" s="207"/>
      <c r="C22" s="207"/>
      <c r="D22" s="207"/>
    </row>
    <row r="23" spans="1:4" ht="60" hidden="1" outlineLevel="1" x14ac:dyDescent="0.25">
      <c r="A23" s="42" t="s">
        <v>1400</v>
      </c>
      <c r="B23" s="64" t="s">
        <v>1399</v>
      </c>
      <c r="C23" s="64" t="s">
        <v>1398</v>
      </c>
      <c r="D23" s="66" t="s">
        <v>2458</v>
      </c>
    </row>
    <row r="24" spans="1:4" ht="30" hidden="1" outlineLevel="1" x14ac:dyDescent="0.25">
      <c r="A24" s="42" t="s">
        <v>1401</v>
      </c>
      <c r="B24" s="64" t="s">
        <v>1408</v>
      </c>
      <c r="C24" s="64" t="s">
        <v>1404</v>
      </c>
      <c r="D24" s="66" t="s">
        <v>2458</v>
      </c>
    </row>
    <row r="25" spans="1:4" ht="30" hidden="1" outlineLevel="1" x14ac:dyDescent="0.25">
      <c r="A25" s="42" t="s">
        <v>1402</v>
      </c>
      <c r="B25" s="64" t="s">
        <v>1409</v>
      </c>
      <c r="C25" s="64" t="s">
        <v>1405</v>
      </c>
      <c r="D25" s="66" t="s">
        <v>2458</v>
      </c>
    </row>
    <row r="26" spans="1:4" ht="30" hidden="1" outlineLevel="1" x14ac:dyDescent="0.25">
      <c r="A26" s="42" t="s">
        <v>1403</v>
      </c>
      <c r="B26" s="64" t="s">
        <v>1407</v>
      </c>
      <c r="C26" s="64" t="s">
        <v>1406</v>
      </c>
      <c r="D26" s="66" t="s">
        <v>2458</v>
      </c>
    </row>
    <row r="27" spans="1:4" collapsed="1" x14ac:dyDescent="0.25">
      <c r="A27" s="207" t="s">
        <v>1446</v>
      </c>
      <c r="B27" s="207"/>
      <c r="C27" s="207"/>
      <c r="D27" s="207"/>
    </row>
    <row r="28" spans="1:4" hidden="1" outlineLevel="1" x14ac:dyDescent="0.25">
      <c r="A28" s="42" t="s">
        <v>1411</v>
      </c>
      <c r="B28" s="64" t="s">
        <v>1410</v>
      </c>
      <c r="C28" s="64" t="s">
        <v>1414</v>
      </c>
      <c r="D28" s="66" t="s">
        <v>2458</v>
      </c>
    </row>
    <row r="29" spans="1:4" ht="30" hidden="1" outlineLevel="1" x14ac:dyDescent="0.25">
      <c r="A29" s="42" t="s">
        <v>1412</v>
      </c>
      <c r="B29" s="64" t="s">
        <v>1415</v>
      </c>
      <c r="C29" s="64" t="s">
        <v>1416</v>
      </c>
      <c r="D29" s="66" t="s">
        <v>2458</v>
      </c>
    </row>
    <row r="30" spans="1:4" hidden="1" outlineLevel="1" x14ac:dyDescent="0.25">
      <c r="A30" s="42" t="s">
        <v>1413</v>
      </c>
      <c r="B30" s="64" t="s">
        <v>1417</v>
      </c>
      <c r="C30" s="64" t="s">
        <v>1418</v>
      </c>
      <c r="D30" s="66" t="s">
        <v>2458</v>
      </c>
    </row>
    <row r="31" spans="1:4" collapsed="1" x14ac:dyDescent="0.25">
      <c r="A31" s="207" t="s">
        <v>1447</v>
      </c>
      <c r="B31" s="207"/>
      <c r="C31" s="207"/>
      <c r="D31" s="207"/>
    </row>
    <row r="32" spans="1:4" ht="45" hidden="1" outlineLevel="1" x14ac:dyDescent="0.25">
      <c r="A32" s="42" t="s">
        <v>1421</v>
      </c>
      <c r="B32" s="64" t="s">
        <v>1419</v>
      </c>
      <c r="C32" s="64" t="s">
        <v>1420</v>
      </c>
      <c r="D32" s="66" t="s">
        <v>2458</v>
      </c>
    </row>
    <row r="33" spans="1:4" ht="30" hidden="1" outlineLevel="1" x14ac:dyDescent="0.25">
      <c r="A33" s="42" t="s">
        <v>1422</v>
      </c>
      <c r="B33" s="64" t="s">
        <v>1424</v>
      </c>
      <c r="C33" s="64" t="s">
        <v>1425</v>
      </c>
      <c r="D33" s="66" t="s">
        <v>2458</v>
      </c>
    </row>
    <row r="34" spans="1:4" ht="30" hidden="1" outlineLevel="1" x14ac:dyDescent="0.25">
      <c r="A34" s="42" t="s">
        <v>1423</v>
      </c>
      <c r="B34" s="64" t="s">
        <v>1426</v>
      </c>
      <c r="C34" s="64" t="s">
        <v>1427</v>
      </c>
      <c r="D34" s="66" t="s">
        <v>2458</v>
      </c>
    </row>
    <row r="35" spans="1:4" collapsed="1" x14ac:dyDescent="0.25">
      <c r="A35" s="207" t="s">
        <v>1448</v>
      </c>
      <c r="B35" s="207"/>
      <c r="C35" s="207"/>
      <c r="D35" s="207"/>
    </row>
    <row r="36" spans="1:4" ht="30" hidden="1" outlineLevel="1" x14ac:dyDescent="0.25">
      <c r="A36" s="42" t="s">
        <v>1429</v>
      </c>
      <c r="B36" s="64" t="s">
        <v>1428</v>
      </c>
      <c r="C36" s="64" t="s">
        <v>1433</v>
      </c>
      <c r="D36" s="66" t="s">
        <v>2458</v>
      </c>
    </row>
    <row r="37" spans="1:4" ht="30" hidden="1" outlineLevel="1" x14ac:dyDescent="0.25">
      <c r="A37" s="42" t="s">
        <v>1430</v>
      </c>
      <c r="B37" s="64" t="s">
        <v>1434</v>
      </c>
      <c r="C37" s="64" t="s">
        <v>1435</v>
      </c>
      <c r="D37" s="66" t="s">
        <v>2458</v>
      </c>
    </row>
    <row r="38" spans="1:4" ht="30" hidden="1" outlineLevel="1" x14ac:dyDescent="0.25">
      <c r="A38" s="42" t="s">
        <v>1431</v>
      </c>
      <c r="B38" s="64" t="s">
        <v>1436</v>
      </c>
      <c r="C38" s="64" t="s">
        <v>1437</v>
      </c>
      <c r="D38" s="66" t="s">
        <v>2458</v>
      </c>
    </row>
    <row r="39" spans="1:4" ht="30" hidden="1" outlineLevel="1" x14ac:dyDescent="0.25">
      <c r="A39" s="42" t="s">
        <v>1432</v>
      </c>
      <c r="B39" s="64" t="s">
        <v>1438</v>
      </c>
      <c r="C39" s="64" t="s">
        <v>1439</v>
      </c>
      <c r="D39" s="66" t="s">
        <v>2458</v>
      </c>
    </row>
    <row r="40" spans="1:4" collapsed="1" x14ac:dyDescent="0.25">
      <c r="A40" s="207" t="s">
        <v>1449</v>
      </c>
      <c r="B40" s="207"/>
      <c r="C40" s="207"/>
      <c r="D40" s="207"/>
    </row>
    <row r="41" spans="1:4" hidden="1" outlineLevel="1" x14ac:dyDescent="0.25">
      <c r="A41" s="42" t="s">
        <v>1451</v>
      </c>
      <c r="B41" s="64" t="s">
        <v>1455</v>
      </c>
      <c r="C41" s="64" t="s">
        <v>1456</v>
      </c>
      <c r="D41" s="66" t="s">
        <v>2458</v>
      </c>
    </row>
    <row r="42" spans="1:4" ht="30" hidden="1" outlineLevel="1" x14ac:dyDescent="0.25">
      <c r="A42" s="42" t="s">
        <v>1452</v>
      </c>
      <c r="B42" s="64" t="s">
        <v>1457</v>
      </c>
      <c r="C42" s="64" t="s">
        <v>1458</v>
      </c>
      <c r="D42" s="66" t="s">
        <v>2458</v>
      </c>
    </row>
    <row r="43" spans="1:4" hidden="1" outlineLevel="1" x14ac:dyDescent="0.25">
      <c r="A43" s="42" t="s">
        <v>1453</v>
      </c>
      <c r="B43" s="64" t="s">
        <v>1459</v>
      </c>
      <c r="C43" s="64" t="s">
        <v>1460</v>
      </c>
      <c r="D43" s="66" t="s">
        <v>2458</v>
      </c>
    </row>
    <row r="44" spans="1:4" ht="30" hidden="1" outlineLevel="1" x14ac:dyDescent="0.25">
      <c r="A44" s="42" t="s">
        <v>1454</v>
      </c>
      <c r="B44" s="64" t="s">
        <v>1462</v>
      </c>
      <c r="C44" s="64" t="s">
        <v>1461</v>
      </c>
      <c r="D44" s="66" t="s">
        <v>2458</v>
      </c>
    </row>
    <row r="45" spans="1:4" collapsed="1" x14ac:dyDescent="0.25">
      <c r="A45" s="207" t="s">
        <v>1450</v>
      </c>
      <c r="B45" s="207"/>
      <c r="C45" s="207"/>
      <c r="D45" s="207"/>
    </row>
    <row r="46" spans="1:4" hidden="1" outlineLevel="1" x14ac:dyDescent="0.25">
      <c r="A46" s="42" t="s">
        <v>1463</v>
      </c>
      <c r="B46" s="64" t="s">
        <v>1467</v>
      </c>
      <c r="C46" s="64" t="s">
        <v>1468</v>
      </c>
      <c r="D46" s="66" t="s">
        <v>2458</v>
      </c>
    </row>
    <row r="47" spans="1:4" ht="30" hidden="1" outlineLevel="1" x14ac:dyDescent="0.25">
      <c r="A47" s="42" t="s">
        <v>1464</v>
      </c>
      <c r="B47" s="64" t="s">
        <v>1469</v>
      </c>
      <c r="C47" s="64" t="s">
        <v>1470</v>
      </c>
      <c r="D47" s="66" t="s">
        <v>2458</v>
      </c>
    </row>
    <row r="48" spans="1:4" ht="30" hidden="1" outlineLevel="1" x14ac:dyDescent="0.25">
      <c r="A48" s="42" t="s">
        <v>1465</v>
      </c>
      <c r="B48" s="64" t="s">
        <v>1471</v>
      </c>
      <c r="C48" s="64" t="s">
        <v>1472</v>
      </c>
      <c r="D48" s="66" t="s">
        <v>2458</v>
      </c>
    </row>
    <row r="49" spans="1:14" ht="30" hidden="1" outlineLevel="1" x14ac:dyDescent="0.25">
      <c r="A49" s="42" t="s">
        <v>1466</v>
      </c>
      <c r="B49" s="64" t="s">
        <v>1473</v>
      </c>
      <c r="C49" s="64" t="s">
        <v>1474</v>
      </c>
      <c r="D49" s="66" t="s">
        <v>2458</v>
      </c>
    </row>
    <row r="50" spans="1:14" collapsed="1" x14ac:dyDescent="0.25">
      <c r="A50" s="208" t="s">
        <v>1475</v>
      </c>
      <c r="B50" s="208"/>
      <c r="C50" s="208"/>
      <c r="D50" s="208"/>
      <c r="F50" s="56"/>
      <c r="G50" s="56"/>
      <c r="H50" s="56"/>
      <c r="I50" s="56"/>
      <c r="J50" s="56"/>
      <c r="K50" s="56"/>
      <c r="L50" s="56"/>
      <c r="M50" s="56"/>
      <c r="N50" s="56"/>
    </row>
    <row r="51" spans="1:14" x14ac:dyDescent="0.25">
      <c r="A51" s="203" t="s">
        <v>1476</v>
      </c>
      <c r="B51" s="203"/>
      <c r="C51" s="203"/>
      <c r="D51" s="203"/>
      <c r="F51" s="56"/>
      <c r="G51" s="56"/>
      <c r="H51" s="56"/>
      <c r="I51" s="56"/>
      <c r="J51" s="56"/>
      <c r="K51" s="56"/>
      <c r="L51" s="56"/>
      <c r="M51" s="56"/>
      <c r="N51" s="56"/>
    </row>
    <row r="52" spans="1:14" ht="30" hidden="1" outlineLevel="1" x14ac:dyDescent="0.25">
      <c r="A52" s="42" t="s">
        <v>1481</v>
      </c>
      <c r="B52" s="76" t="s">
        <v>2483</v>
      </c>
      <c r="C52" s="64" t="s">
        <v>2484</v>
      </c>
      <c r="D52" s="66" t="s">
        <v>2458</v>
      </c>
    </row>
    <row r="53" spans="1:14" ht="30" hidden="1" outlineLevel="1" x14ac:dyDescent="0.25">
      <c r="A53" s="42" t="s">
        <v>1484</v>
      </c>
      <c r="B53" s="76" t="s">
        <v>2485</v>
      </c>
      <c r="C53" s="64" t="s">
        <v>2486</v>
      </c>
      <c r="D53" s="66" t="s">
        <v>2458</v>
      </c>
    </row>
    <row r="54" spans="1:14" ht="30" hidden="1" outlineLevel="1" x14ac:dyDescent="0.25">
      <c r="A54" s="42" t="s">
        <v>1485</v>
      </c>
      <c r="B54" s="76" t="s">
        <v>2487</v>
      </c>
      <c r="C54" s="64" t="s">
        <v>2488</v>
      </c>
      <c r="D54" s="66" t="s">
        <v>2458</v>
      </c>
    </row>
    <row r="55" spans="1:14" ht="30" hidden="1" outlineLevel="1" x14ac:dyDescent="0.25">
      <c r="A55" s="42" t="s">
        <v>1486</v>
      </c>
      <c r="B55" s="76" t="s">
        <v>2489</v>
      </c>
      <c r="C55" s="64" t="s">
        <v>2490</v>
      </c>
      <c r="D55" s="66" t="s">
        <v>2458</v>
      </c>
    </row>
    <row r="56" spans="1:14" ht="30" hidden="1" outlineLevel="1" x14ac:dyDescent="0.25">
      <c r="A56" s="42" t="s">
        <v>1487</v>
      </c>
      <c r="B56" s="76" t="s">
        <v>2491</v>
      </c>
      <c r="C56" s="64" t="s">
        <v>1493</v>
      </c>
      <c r="D56" s="66" t="s">
        <v>2458</v>
      </c>
    </row>
    <row r="57" spans="1:14" collapsed="1" x14ac:dyDescent="0.25">
      <c r="A57" s="203" t="s">
        <v>1477</v>
      </c>
      <c r="B57" s="203"/>
      <c r="C57" s="203"/>
      <c r="D57" s="203"/>
      <c r="F57" s="56"/>
      <c r="G57" s="56"/>
      <c r="H57" s="56"/>
      <c r="I57" s="56"/>
      <c r="J57" s="56"/>
      <c r="K57" s="56"/>
      <c r="L57" s="56"/>
      <c r="M57" s="56"/>
      <c r="N57" s="56"/>
    </row>
    <row r="58" spans="1:14" ht="30" hidden="1" outlineLevel="1" x14ac:dyDescent="0.25">
      <c r="A58" s="42" t="s">
        <v>1479</v>
      </c>
      <c r="B58" s="64" t="s">
        <v>1478</v>
      </c>
      <c r="C58" s="64"/>
      <c r="D58" s="66" t="s">
        <v>2459</v>
      </c>
    </row>
    <row r="59" spans="1:14" collapsed="1" x14ac:dyDescent="0.25">
      <c r="A59" s="208" t="s">
        <v>2298</v>
      </c>
      <c r="B59" s="208"/>
      <c r="C59" s="208"/>
      <c r="D59" s="208"/>
      <c r="F59" s="56"/>
      <c r="G59" s="56"/>
      <c r="H59" s="56"/>
      <c r="I59" s="56"/>
      <c r="J59" s="56"/>
      <c r="K59" s="56"/>
      <c r="L59" s="56"/>
      <c r="M59" s="56"/>
      <c r="N59" s="56"/>
    </row>
    <row r="60" spans="1:14" x14ac:dyDescent="0.25">
      <c r="A60" s="203" t="s">
        <v>2357</v>
      </c>
      <c r="B60" s="203"/>
      <c r="C60" s="203"/>
      <c r="D60" s="203"/>
      <c r="F60" s="56"/>
      <c r="G60" s="56"/>
      <c r="H60" s="56"/>
      <c r="I60" s="56"/>
      <c r="J60" s="56"/>
      <c r="K60" s="56"/>
      <c r="L60" s="56"/>
      <c r="M60" s="56"/>
      <c r="N60" s="56"/>
    </row>
    <row r="61" spans="1:14" hidden="1" outlineLevel="1" x14ac:dyDescent="0.25">
      <c r="A61" s="42" t="s">
        <v>1506</v>
      </c>
      <c r="B61" s="76" t="s">
        <v>2492</v>
      </c>
      <c r="C61" s="64" t="s">
        <v>1511</v>
      </c>
      <c r="D61" s="66" t="s">
        <v>2458</v>
      </c>
    </row>
    <row r="62" spans="1:14" hidden="1" outlineLevel="1" x14ac:dyDescent="0.25">
      <c r="A62" s="42" t="s">
        <v>1507</v>
      </c>
      <c r="B62" s="76" t="s">
        <v>2493</v>
      </c>
      <c r="C62" s="64" t="s">
        <v>2494</v>
      </c>
      <c r="D62" s="66" t="s">
        <v>2458</v>
      </c>
    </row>
    <row r="63" spans="1:14" ht="30" hidden="1" outlineLevel="1" x14ac:dyDescent="0.25">
      <c r="A63" s="42" t="s">
        <v>1508</v>
      </c>
      <c r="B63" s="76" t="s">
        <v>2495</v>
      </c>
      <c r="C63" s="64" t="s">
        <v>2496</v>
      </c>
      <c r="D63" s="66" t="s">
        <v>2458</v>
      </c>
    </row>
    <row r="64" spans="1:14" ht="30" hidden="1" outlineLevel="1" x14ac:dyDescent="0.25">
      <c r="A64" s="42" t="s">
        <v>1509</v>
      </c>
      <c r="B64" s="76" t="s">
        <v>2497</v>
      </c>
      <c r="C64" s="64" t="s">
        <v>2498</v>
      </c>
      <c r="D64" s="66" t="s">
        <v>2458</v>
      </c>
    </row>
    <row r="65" spans="1:14" ht="45" hidden="1" outlineLevel="1" x14ac:dyDescent="0.25">
      <c r="A65" s="42" t="s">
        <v>2353</v>
      </c>
      <c r="B65" s="76" t="s">
        <v>2499</v>
      </c>
      <c r="C65" s="76" t="s">
        <v>2500</v>
      </c>
      <c r="D65" s="66" t="s">
        <v>2458</v>
      </c>
    </row>
    <row r="66" spans="1:14" ht="60" hidden="1" outlineLevel="1" x14ac:dyDescent="0.25">
      <c r="A66" s="42" t="s">
        <v>2354</v>
      </c>
      <c r="B66" s="76" t="s">
        <v>2501</v>
      </c>
      <c r="C66" s="64" t="s">
        <v>2502</v>
      </c>
      <c r="D66" s="66" t="s">
        <v>2458</v>
      </c>
    </row>
    <row r="67" spans="1:14" hidden="1" outlineLevel="1" x14ac:dyDescent="0.25">
      <c r="A67" s="42" t="s">
        <v>2355</v>
      </c>
      <c r="B67" s="64" t="s">
        <v>2503</v>
      </c>
      <c r="C67" s="64" t="s">
        <v>2504</v>
      </c>
      <c r="D67" s="66" t="s">
        <v>2458</v>
      </c>
    </row>
    <row r="68" spans="1:14" hidden="1" outlineLevel="1" x14ac:dyDescent="0.25">
      <c r="A68" s="42" t="s">
        <v>2356</v>
      </c>
      <c r="B68" s="76" t="s">
        <v>2505</v>
      </c>
      <c r="C68" s="64" t="s">
        <v>2506</v>
      </c>
      <c r="D68" s="66" t="s">
        <v>2458</v>
      </c>
    </row>
    <row r="69" spans="1:14" collapsed="1" x14ac:dyDescent="0.25">
      <c r="A69" s="208" t="s">
        <v>2300</v>
      </c>
      <c r="B69" s="208"/>
      <c r="C69" s="208"/>
      <c r="D69" s="208"/>
      <c r="F69" s="56"/>
      <c r="G69" s="56"/>
      <c r="H69" s="56"/>
      <c r="I69" s="56"/>
      <c r="J69" s="56"/>
      <c r="K69" s="56"/>
      <c r="L69" s="56"/>
      <c r="M69" s="56"/>
      <c r="N69" s="56"/>
    </row>
    <row r="70" spans="1:14" ht="30" hidden="1" outlineLevel="1" x14ac:dyDescent="0.25">
      <c r="A70" s="42" t="s">
        <v>753</v>
      </c>
      <c r="B70" s="64" t="s">
        <v>1518</v>
      </c>
      <c r="C70" s="64" t="s">
        <v>1519</v>
      </c>
      <c r="D70" s="66" t="s">
        <v>2458</v>
      </c>
    </row>
    <row r="71" spans="1:14" hidden="1" outlineLevel="1" x14ac:dyDescent="0.25">
      <c r="A71" s="42" t="s">
        <v>754</v>
      </c>
      <c r="B71" s="64" t="s">
        <v>1520</v>
      </c>
      <c r="C71" s="64" t="s">
        <v>1521</v>
      </c>
      <c r="D71" s="66" t="s">
        <v>2458</v>
      </c>
    </row>
    <row r="72" spans="1:14" collapsed="1" x14ac:dyDescent="0.25">
      <c r="A72" s="208" t="s">
        <v>2301</v>
      </c>
      <c r="B72" s="208"/>
      <c r="C72" s="208"/>
      <c r="D72" s="208"/>
      <c r="F72" s="56"/>
      <c r="G72" s="56"/>
      <c r="H72" s="56"/>
      <c r="I72" s="56"/>
      <c r="J72" s="56"/>
      <c r="K72" s="56"/>
      <c r="L72" s="56"/>
      <c r="M72" s="56"/>
      <c r="N72" s="56"/>
    </row>
    <row r="73" spans="1:14" ht="45" hidden="1" outlineLevel="1" x14ac:dyDescent="0.25">
      <c r="A73" s="42" t="s">
        <v>1522</v>
      </c>
      <c r="B73" s="64" t="s">
        <v>1554</v>
      </c>
      <c r="C73" s="64" t="s">
        <v>1555</v>
      </c>
      <c r="D73" s="66" t="s">
        <v>2458</v>
      </c>
    </row>
    <row r="74" spans="1:14" ht="30" hidden="1" outlineLevel="1" x14ac:dyDescent="0.25">
      <c r="A74" s="42" t="s">
        <v>1523</v>
      </c>
      <c r="B74" s="64" t="s">
        <v>1535</v>
      </c>
      <c r="C74" s="64" t="s">
        <v>1536</v>
      </c>
      <c r="D74" s="66" t="s">
        <v>2458</v>
      </c>
    </row>
    <row r="75" spans="1:14" ht="30" hidden="1" outlineLevel="1" x14ac:dyDescent="0.25">
      <c r="A75" s="42" t="s">
        <v>1524</v>
      </c>
      <c r="B75" s="64" t="s">
        <v>1537</v>
      </c>
      <c r="C75" s="64" t="s">
        <v>1538</v>
      </c>
      <c r="D75" s="66" t="s">
        <v>2458</v>
      </c>
    </row>
    <row r="76" spans="1:14" ht="30" hidden="1" outlineLevel="1" x14ac:dyDescent="0.25">
      <c r="A76" s="42" t="s">
        <v>1525</v>
      </c>
      <c r="B76" s="64" t="s">
        <v>1541</v>
      </c>
      <c r="C76" s="64" t="s">
        <v>1542</v>
      </c>
      <c r="D76" s="66" t="s">
        <v>2458</v>
      </c>
    </row>
    <row r="77" spans="1:14" ht="30" hidden="1" outlineLevel="1" x14ac:dyDescent="0.25">
      <c r="A77" s="42" t="s">
        <v>1526</v>
      </c>
      <c r="B77" s="64" t="s">
        <v>1543</v>
      </c>
      <c r="C77" s="64" t="s">
        <v>1544</v>
      </c>
      <c r="D77" s="66" t="s">
        <v>2458</v>
      </c>
    </row>
    <row r="78" spans="1:14" ht="30" hidden="1" outlineLevel="1" x14ac:dyDescent="0.25">
      <c r="A78" s="42" t="s">
        <v>1527</v>
      </c>
      <c r="B78" s="64" t="s">
        <v>1549</v>
      </c>
      <c r="C78" s="64" t="s">
        <v>1550</v>
      </c>
      <c r="D78" s="66" t="s">
        <v>2458</v>
      </c>
    </row>
    <row r="79" spans="1:14" ht="30" hidden="1" outlineLevel="1" x14ac:dyDescent="0.25">
      <c r="A79" s="42" t="s">
        <v>1528</v>
      </c>
      <c r="B79" s="64" t="s">
        <v>1539</v>
      </c>
      <c r="C79" s="64" t="s">
        <v>1540</v>
      </c>
      <c r="D79" s="66" t="s">
        <v>2458</v>
      </c>
    </row>
    <row r="80" spans="1:14" ht="30" hidden="1" outlineLevel="1" x14ac:dyDescent="0.25">
      <c r="A80" s="42" t="s">
        <v>1529</v>
      </c>
      <c r="B80" s="64" t="s">
        <v>1551</v>
      </c>
      <c r="C80" s="64" t="s">
        <v>1552</v>
      </c>
      <c r="D80" s="66" t="s">
        <v>2458</v>
      </c>
    </row>
    <row r="81" spans="1:14" ht="30" hidden="1" outlineLevel="1" x14ac:dyDescent="0.25">
      <c r="A81" s="42" t="s">
        <v>1530</v>
      </c>
      <c r="B81" s="64" t="s">
        <v>1556</v>
      </c>
      <c r="C81" s="64" t="s">
        <v>1557</v>
      </c>
      <c r="D81" s="66" t="s">
        <v>2458</v>
      </c>
    </row>
    <row r="82" spans="1:14" ht="30" hidden="1" outlineLevel="1" x14ac:dyDescent="0.25">
      <c r="A82" s="42" t="s">
        <v>1531</v>
      </c>
      <c r="B82" s="64" t="s">
        <v>1558</v>
      </c>
      <c r="C82" s="64" t="s">
        <v>1559</v>
      </c>
      <c r="D82" s="66" t="s">
        <v>2458</v>
      </c>
    </row>
    <row r="83" spans="1:14" collapsed="1" x14ac:dyDescent="0.25">
      <c r="A83" s="208" t="s">
        <v>2358</v>
      </c>
      <c r="B83" s="208"/>
      <c r="C83" s="208"/>
      <c r="D83" s="208"/>
      <c r="F83" s="56"/>
      <c r="G83" s="56"/>
      <c r="H83" s="56"/>
      <c r="I83" s="56"/>
      <c r="J83" s="56"/>
      <c r="K83" s="56"/>
      <c r="L83" s="56"/>
      <c r="M83" s="56"/>
      <c r="N83" s="56"/>
    </row>
    <row r="84" spans="1:14" ht="45" hidden="1" outlineLevel="1" x14ac:dyDescent="0.25">
      <c r="A84" s="42" t="s">
        <v>1561</v>
      </c>
      <c r="B84" s="76" t="s">
        <v>2507</v>
      </c>
      <c r="C84" s="64" t="s">
        <v>2508</v>
      </c>
      <c r="D84" s="66" t="s">
        <v>2458</v>
      </c>
    </row>
    <row r="85" spans="1:14" ht="45" hidden="1" outlineLevel="1" x14ac:dyDescent="0.25">
      <c r="A85" s="42" t="s">
        <v>1562</v>
      </c>
      <c r="B85" s="64" t="s">
        <v>2509</v>
      </c>
      <c r="C85" s="64" t="s">
        <v>2510</v>
      </c>
      <c r="D85" s="66" t="s">
        <v>2458</v>
      </c>
    </row>
    <row r="86" spans="1:14" ht="30" hidden="1" outlineLevel="1" x14ac:dyDescent="0.25">
      <c r="A86" s="42" t="s">
        <v>1563</v>
      </c>
      <c r="B86" s="64" t="s">
        <v>2511</v>
      </c>
      <c r="C86" s="64" t="s">
        <v>2512</v>
      </c>
      <c r="D86" s="66" t="s">
        <v>2458</v>
      </c>
    </row>
    <row r="87" spans="1:14" hidden="1" outlineLevel="1" x14ac:dyDescent="0.25">
      <c r="A87" s="42" t="s">
        <v>1564</v>
      </c>
      <c r="B87" s="76" t="s">
        <v>2513</v>
      </c>
      <c r="C87" s="64" t="s">
        <v>2514</v>
      </c>
      <c r="D87" s="66" t="s">
        <v>2458</v>
      </c>
    </row>
    <row r="88" spans="1:14" collapsed="1" x14ac:dyDescent="0.25">
      <c r="A88" s="208" t="s">
        <v>2302</v>
      </c>
      <c r="B88" s="208"/>
      <c r="C88" s="208"/>
      <c r="D88" s="208"/>
      <c r="F88" s="56"/>
      <c r="G88" s="56"/>
      <c r="H88" s="56"/>
      <c r="I88" s="56"/>
      <c r="J88" s="56"/>
      <c r="K88" s="56"/>
      <c r="L88" s="56"/>
      <c r="M88" s="56"/>
      <c r="N88" s="56"/>
    </row>
    <row r="89" spans="1:14" ht="60" hidden="1" outlineLevel="1" x14ac:dyDescent="0.25">
      <c r="A89" s="42" t="s">
        <v>1576</v>
      </c>
      <c r="B89" s="64" t="s">
        <v>1560</v>
      </c>
      <c r="C89" s="64" t="s">
        <v>1567</v>
      </c>
      <c r="D89" s="66" t="s">
        <v>2458</v>
      </c>
    </row>
    <row r="90" spans="1:14" ht="60" hidden="1" outlineLevel="1" x14ac:dyDescent="0.25">
      <c r="A90" s="42" t="s">
        <v>1577</v>
      </c>
      <c r="B90" s="64" t="s">
        <v>1568</v>
      </c>
      <c r="C90" s="64" t="s">
        <v>1567</v>
      </c>
      <c r="D90" s="66" t="s">
        <v>2458</v>
      </c>
    </row>
    <row r="91" spans="1:14" ht="60" hidden="1" outlineLevel="1" x14ac:dyDescent="0.25">
      <c r="A91" s="42" t="s">
        <v>1578</v>
      </c>
      <c r="B91" s="64" t="s">
        <v>1569</v>
      </c>
      <c r="C91" s="64" t="s">
        <v>1567</v>
      </c>
      <c r="D91" s="66" t="s">
        <v>2458</v>
      </c>
    </row>
    <row r="92" spans="1:14" ht="30" hidden="1" outlineLevel="1" x14ac:dyDescent="0.25">
      <c r="A92" s="42" t="s">
        <v>1579</v>
      </c>
      <c r="B92" s="64" t="s">
        <v>1570</v>
      </c>
      <c r="C92" s="64" t="s">
        <v>1571</v>
      </c>
      <c r="D92" s="66" t="s">
        <v>2458</v>
      </c>
    </row>
    <row r="93" spans="1:14" ht="30" hidden="1" outlineLevel="1" x14ac:dyDescent="0.25">
      <c r="A93" s="42" t="s">
        <v>1580</v>
      </c>
      <c r="B93" s="64" t="s">
        <v>1572</v>
      </c>
      <c r="C93" s="64" t="s">
        <v>1574</v>
      </c>
      <c r="D93" s="66" t="s">
        <v>2458</v>
      </c>
    </row>
    <row r="94" spans="1:14" ht="30" hidden="1" outlineLevel="1" x14ac:dyDescent="0.25">
      <c r="A94" s="42" t="s">
        <v>1581</v>
      </c>
      <c r="B94" s="64" t="s">
        <v>1573</v>
      </c>
      <c r="C94" s="64" t="s">
        <v>1575</v>
      </c>
      <c r="D94" s="66" t="s">
        <v>2458</v>
      </c>
    </row>
    <row r="95" spans="1:14" collapsed="1" x14ac:dyDescent="0.25">
      <c r="A95" s="208" t="s">
        <v>2303</v>
      </c>
      <c r="B95" s="208"/>
      <c r="C95" s="208"/>
      <c r="D95" s="208"/>
      <c r="F95" s="56"/>
      <c r="G95" s="56"/>
      <c r="H95" s="56"/>
      <c r="I95" s="56"/>
      <c r="J95" s="56"/>
      <c r="K95" s="56"/>
      <c r="L95" s="56"/>
      <c r="M95" s="56"/>
      <c r="N95" s="56"/>
    </row>
    <row r="96" spans="1:14" ht="30" hidden="1" outlineLevel="1" x14ac:dyDescent="0.25">
      <c r="A96" s="42" t="s">
        <v>2359</v>
      </c>
      <c r="B96" s="64" t="s">
        <v>1589</v>
      </c>
      <c r="C96" s="64" t="s">
        <v>1590</v>
      </c>
      <c r="D96" s="66" t="s">
        <v>2458</v>
      </c>
    </row>
    <row r="97" spans="1:14" hidden="1" outlineLevel="1" x14ac:dyDescent="0.25">
      <c r="A97" s="42" t="s">
        <v>2360</v>
      </c>
      <c r="B97" s="64" t="s">
        <v>2365</v>
      </c>
      <c r="C97" s="64" t="s">
        <v>1592</v>
      </c>
      <c r="D97" s="66" t="s">
        <v>2458</v>
      </c>
    </row>
    <row r="98" spans="1:14" ht="30" hidden="1" outlineLevel="1" x14ac:dyDescent="0.25">
      <c r="A98" s="42" t="s">
        <v>2361</v>
      </c>
      <c r="B98" s="64" t="s">
        <v>2368</v>
      </c>
      <c r="C98" s="64" t="s">
        <v>1596</v>
      </c>
      <c r="D98" s="66" t="s">
        <v>2458</v>
      </c>
    </row>
    <row r="99" spans="1:14" ht="30" hidden="1" outlineLevel="1" x14ac:dyDescent="0.25">
      <c r="A99" s="42" t="s">
        <v>2362</v>
      </c>
      <c r="B99" s="64" t="s">
        <v>2367</v>
      </c>
      <c r="C99" s="64" t="s">
        <v>1598</v>
      </c>
      <c r="D99" s="66" t="s">
        <v>2458</v>
      </c>
    </row>
    <row r="100" spans="1:14" hidden="1" outlineLevel="1" x14ac:dyDescent="0.25">
      <c r="A100" s="42" t="s">
        <v>2363</v>
      </c>
      <c r="B100" s="64" t="s">
        <v>2366</v>
      </c>
      <c r="C100" s="64" t="s">
        <v>1602</v>
      </c>
      <c r="D100" s="66" t="s">
        <v>2458</v>
      </c>
    </row>
    <row r="101" spans="1:14" ht="45" hidden="1" outlineLevel="1" x14ac:dyDescent="0.25">
      <c r="A101" s="42" t="s">
        <v>2364</v>
      </c>
      <c r="B101" s="64" t="s">
        <v>1604</v>
      </c>
      <c r="C101" s="64" t="s">
        <v>1605</v>
      </c>
      <c r="D101" s="66" t="s">
        <v>2458</v>
      </c>
    </row>
    <row r="102" spans="1:14" collapsed="1" x14ac:dyDescent="0.25">
      <c r="A102" s="209" t="s">
        <v>2304</v>
      </c>
      <c r="B102" s="209"/>
      <c r="C102" s="209"/>
      <c r="D102" s="209"/>
    </row>
    <row r="103" spans="1:14" x14ac:dyDescent="0.25">
      <c r="A103" s="208" t="s">
        <v>2305</v>
      </c>
      <c r="B103" s="208"/>
      <c r="C103" s="208"/>
      <c r="D103" s="208"/>
      <c r="F103" s="56"/>
      <c r="G103" s="56"/>
      <c r="H103" s="56"/>
      <c r="I103" s="56"/>
      <c r="J103" s="56"/>
      <c r="K103" s="56"/>
      <c r="L103" s="56"/>
      <c r="M103" s="56"/>
      <c r="N103" s="56"/>
    </row>
    <row r="104" spans="1:14" ht="30" hidden="1" outlineLevel="1" x14ac:dyDescent="0.25">
      <c r="A104" s="42" t="s">
        <v>1608</v>
      </c>
      <c r="B104" s="64" t="s">
        <v>1607</v>
      </c>
      <c r="C104" s="64" t="s">
        <v>1631</v>
      </c>
      <c r="D104" s="66" t="s">
        <v>128</v>
      </c>
    </row>
    <row r="105" spans="1:14" ht="30" hidden="1" outlineLevel="1" x14ac:dyDescent="0.25">
      <c r="A105" s="42" t="s">
        <v>1609</v>
      </c>
      <c r="B105" s="64" t="s">
        <v>1632</v>
      </c>
      <c r="C105" s="64" t="s">
        <v>1633</v>
      </c>
      <c r="D105" s="66" t="s">
        <v>128</v>
      </c>
    </row>
    <row r="106" spans="1:14" ht="30" hidden="1" outlineLevel="1" x14ac:dyDescent="0.25">
      <c r="A106" s="42" t="s">
        <v>1610</v>
      </c>
      <c r="B106" s="76" t="s">
        <v>2515</v>
      </c>
      <c r="C106" s="64" t="s">
        <v>2516</v>
      </c>
      <c r="D106" s="66" t="s">
        <v>128</v>
      </c>
    </row>
    <row r="107" spans="1:14" ht="30" hidden="1" outlineLevel="1" x14ac:dyDescent="0.25">
      <c r="A107" s="42" t="s">
        <v>1611</v>
      </c>
      <c r="B107" s="64" t="s">
        <v>1634</v>
      </c>
      <c r="C107" s="64" t="s">
        <v>1635</v>
      </c>
      <c r="D107" s="66" t="s">
        <v>128</v>
      </c>
    </row>
    <row r="108" spans="1:14" ht="30" hidden="1" outlineLevel="1" x14ac:dyDescent="0.25">
      <c r="A108" s="42" t="s">
        <v>1612</v>
      </c>
      <c r="B108" s="64" t="s">
        <v>1636</v>
      </c>
      <c r="C108" s="64" t="s">
        <v>1637</v>
      </c>
      <c r="D108" s="66" t="s">
        <v>128</v>
      </c>
    </row>
    <row r="109" spans="1:14" ht="30" hidden="1" outlineLevel="1" x14ac:dyDescent="0.25">
      <c r="A109" s="42" t="s">
        <v>1613</v>
      </c>
      <c r="B109" s="64" t="s">
        <v>1638</v>
      </c>
      <c r="C109" s="64" t="s">
        <v>1639</v>
      </c>
      <c r="D109" s="66" t="s">
        <v>128</v>
      </c>
    </row>
    <row r="110" spans="1:14" ht="45" hidden="1" outlineLevel="1" x14ac:dyDescent="0.25">
      <c r="A110" s="42" t="s">
        <v>1614</v>
      </c>
      <c r="B110" s="64" t="s">
        <v>1640</v>
      </c>
      <c r="C110" s="64" t="s">
        <v>1641</v>
      </c>
      <c r="D110" s="66" t="s">
        <v>128</v>
      </c>
    </row>
    <row r="111" spans="1:14" ht="45" hidden="1" outlineLevel="1" x14ac:dyDescent="0.25">
      <c r="A111" s="42" t="s">
        <v>1615</v>
      </c>
      <c r="B111" s="64" t="s">
        <v>1644</v>
      </c>
      <c r="C111" s="64" t="s">
        <v>1645</v>
      </c>
      <c r="D111" s="66" t="s">
        <v>128</v>
      </c>
    </row>
    <row r="112" spans="1:14" ht="30" hidden="1" outlineLevel="1" x14ac:dyDescent="0.25">
      <c r="A112" s="42" t="s">
        <v>1616</v>
      </c>
      <c r="B112" s="64" t="s">
        <v>1646</v>
      </c>
      <c r="C112" s="64" t="s">
        <v>1647</v>
      </c>
      <c r="D112" s="66" t="s">
        <v>128</v>
      </c>
    </row>
    <row r="113" spans="1:14" ht="30" hidden="1" outlineLevel="1" x14ac:dyDescent="0.25">
      <c r="A113" s="42" t="s">
        <v>1617</v>
      </c>
      <c r="B113" s="64" t="s">
        <v>1650</v>
      </c>
      <c r="C113" s="64" t="s">
        <v>1651</v>
      </c>
      <c r="D113" s="66" t="s">
        <v>128</v>
      </c>
    </row>
    <row r="114" spans="1:14" ht="30" hidden="1" outlineLevel="1" x14ac:dyDescent="0.25">
      <c r="A114" s="42" t="s">
        <v>1618</v>
      </c>
      <c r="B114" s="64" t="s">
        <v>1652</v>
      </c>
      <c r="C114" s="64" t="s">
        <v>1653</v>
      </c>
      <c r="D114" s="66" t="s">
        <v>128</v>
      </c>
    </row>
    <row r="115" spans="1:14" ht="30" hidden="1" outlineLevel="1" x14ac:dyDescent="0.25">
      <c r="A115" s="42" t="s">
        <v>1619</v>
      </c>
      <c r="B115" s="64" t="s">
        <v>1654</v>
      </c>
      <c r="C115" s="64" t="s">
        <v>1655</v>
      </c>
      <c r="D115" s="66" t="s">
        <v>128</v>
      </c>
    </row>
    <row r="116" spans="1:14" ht="30" hidden="1" outlineLevel="1" x14ac:dyDescent="0.25">
      <c r="A116" s="42" t="s">
        <v>1620</v>
      </c>
      <c r="B116" s="64" t="s">
        <v>1658</v>
      </c>
      <c r="C116" s="64" t="s">
        <v>1659</v>
      </c>
      <c r="D116" s="66" t="s">
        <v>128</v>
      </c>
    </row>
    <row r="117" spans="1:14" ht="60" hidden="1" outlineLevel="1" x14ac:dyDescent="0.25">
      <c r="A117" s="42" t="s">
        <v>1621</v>
      </c>
      <c r="B117" s="64" t="s">
        <v>1656</v>
      </c>
      <c r="C117" s="64" t="s">
        <v>1657</v>
      </c>
      <c r="D117" s="66" t="s">
        <v>128</v>
      </c>
    </row>
    <row r="118" spans="1:14" hidden="1" outlineLevel="1" x14ac:dyDescent="0.25">
      <c r="A118" s="42" t="s">
        <v>1622</v>
      </c>
      <c r="B118" s="64" t="s">
        <v>1660</v>
      </c>
      <c r="C118" s="64" t="s">
        <v>1661</v>
      </c>
      <c r="D118" s="66" t="s">
        <v>128</v>
      </c>
    </row>
    <row r="119" spans="1:14" ht="45" hidden="1" outlineLevel="1" x14ac:dyDescent="0.25">
      <c r="A119" s="42" t="s">
        <v>1623</v>
      </c>
      <c r="B119" s="64" t="s">
        <v>1662</v>
      </c>
      <c r="C119" s="64" t="s">
        <v>1663</v>
      </c>
      <c r="D119" s="66" t="s">
        <v>128</v>
      </c>
    </row>
    <row r="120" spans="1:14" ht="30" hidden="1" outlineLevel="1" x14ac:dyDescent="0.25">
      <c r="A120" s="42" t="s">
        <v>1624</v>
      </c>
      <c r="B120" s="64" t="s">
        <v>1664</v>
      </c>
      <c r="C120" s="64" t="s">
        <v>1665</v>
      </c>
      <c r="D120" s="66" t="s">
        <v>128</v>
      </c>
    </row>
    <row r="121" spans="1:14" ht="30" hidden="1" outlineLevel="1" x14ac:dyDescent="0.25">
      <c r="A121" s="42" t="s">
        <v>1625</v>
      </c>
      <c r="B121" s="64" t="s">
        <v>1668</v>
      </c>
      <c r="C121" s="64" t="s">
        <v>1669</v>
      </c>
      <c r="D121" s="66" t="s">
        <v>128</v>
      </c>
    </row>
    <row r="122" spans="1:14" hidden="1" outlineLevel="1" x14ac:dyDescent="0.25">
      <c r="A122" s="42" t="s">
        <v>1626</v>
      </c>
      <c r="B122" s="76" t="s">
        <v>2517</v>
      </c>
      <c r="C122" s="64" t="s">
        <v>1588</v>
      </c>
      <c r="D122" s="66" t="s">
        <v>128</v>
      </c>
    </row>
    <row r="123" spans="1:14" hidden="1" outlineLevel="1" x14ac:dyDescent="0.25">
      <c r="A123" s="42" t="s">
        <v>1627</v>
      </c>
      <c r="B123" s="64" t="s">
        <v>1670</v>
      </c>
      <c r="C123" s="64" t="s">
        <v>1671</v>
      </c>
      <c r="D123" s="66" t="s">
        <v>128</v>
      </c>
    </row>
    <row r="124" spans="1:14" ht="30" hidden="1" outlineLevel="1" x14ac:dyDescent="0.25">
      <c r="A124" s="42" t="s">
        <v>1628</v>
      </c>
      <c r="B124" s="64" t="s">
        <v>1672</v>
      </c>
      <c r="C124" s="64" t="s">
        <v>1673</v>
      </c>
      <c r="D124" s="66" t="s">
        <v>128</v>
      </c>
    </row>
    <row r="125" spans="1:14" ht="45" hidden="1" outlineLevel="1" x14ac:dyDescent="0.25">
      <c r="A125" s="42" t="s">
        <v>1629</v>
      </c>
      <c r="B125" s="64" t="s">
        <v>1674</v>
      </c>
      <c r="C125" s="64" t="s">
        <v>1675</v>
      </c>
      <c r="D125" s="66" t="s">
        <v>128</v>
      </c>
    </row>
    <row r="126" spans="1:14" collapsed="1" x14ac:dyDescent="0.25">
      <c r="A126" s="208" t="s">
        <v>2306</v>
      </c>
      <c r="B126" s="208"/>
      <c r="C126" s="208"/>
      <c r="D126" s="208"/>
      <c r="F126" s="56"/>
      <c r="G126" s="56"/>
      <c r="H126" s="56"/>
      <c r="I126" s="56"/>
      <c r="J126" s="56"/>
      <c r="K126" s="56"/>
      <c r="L126" s="56"/>
      <c r="M126" s="56"/>
      <c r="N126" s="56"/>
    </row>
    <row r="127" spans="1:14" ht="30" hidden="1" outlineLevel="1" x14ac:dyDescent="0.25">
      <c r="A127" s="42" t="s">
        <v>1677</v>
      </c>
      <c r="B127" s="64" t="s">
        <v>1689</v>
      </c>
      <c r="C127" s="64" t="s">
        <v>1690</v>
      </c>
      <c r="D127" s="66" t="s">
        <v>142</v>
      </c>
    </row>
    <row r="128" spans="1:14" ht="30" hidden="1" outlineLevel="1" x14ac:dyDescent="0.25">
      <c r="A128" s="42" t="s">
        <v>1678</v>
      </c>
      <c r="B128" s="64" t="s">
        <v>1691</v>
      </c>
      <c r="C128" s="64" t="s">
        <v>1692</v>
      </c>
      <c r="D128" s="66" t="s">
        <v>142</v>
      </c>
    </row>
    <row r="129" spans="1:14" hidden="1" outlineLevel="1" x14ac:dyDescent="0.25">
      <c r="A129" s="42" t="s">
        <v>1679</v>
      </c>
      <c r="B129" s="64" t="s">
        <v>1688</v>
      </c>
      <c r="C129" s="64" t="s">
        <v>1661</v>
      </c>
      <c r="D129" s="66" t="s">
        <v>142</v>
      </c>
    </row>
    <row r="130" spans="1:14" hidden="1" outlineLevel="1" x14ac:dyDescent="0.25">
      <c r="A130" s="42" t="s">
        <v>1680</v>
      </c>
      <c r="B130" s="7" t="s">
        <v>2522</v>
      </c>
      <c r="C130" s="7" t="s">
        <v>2523</v>
      </c>
      <c r="D130" s="66" t="s">
        <v>142</v>
      </c>
    </row>
    <row r="131" spans="1:14" collapsed="1" x14ac:dyDescent="0.25">
      <c r="A131" s="208" t="s">
        <v>2307</v>
      </c>
      <c r="B131" s="208"/>
      <c r="C131" s="208"/>
      <c r="D131" s="208"/>
      <c r="F131" s="56"/>
      <c r="G131" s="56"/>
      <c r="H131" s="56"/>
      <c r="I131" s="56"/>
      <c r="J131" s="56"/>
      <c r="K131" s="56"/>
      <c r="L131" s="56"/>
      <c r="M131" s="56"/>
      <c r="N131" s="56"/>
    </row>
    <row r="132" spans="1:14" ht="30" hidden="1" outlineLevel="1" x14ac:dyDescent="0.25">
      <c r="A132" s="42" t="s">
        <v>2369</v>
      </c>
      <c r="B132" s="76" t="s">
        <v>2308</v>
      </c>
      <c r="C132" s="64" t="s">
        <v>2518</v>
      </c>
      <c r="D132" s="66" t="s">
        <v>97</v>
      </c>
    </row>
    <row r="133" spans="1:14" ht="30" hidden="1" outlineLevel="1" x14ac:dyDescent="0.25">
      <c r="A133" s="42" t="s">
        <v>2370</v>
      </c>
      <c r="B133" s="76" t="s">
        <v>2519</v>
      </c>
      <c r="C133" s="76" t="s">
        <v>2518</v>
      </c>
      <c r="D133" s="66" t="s">
        <v>97</v>
      </c>
    </row>
    <row r="134" spans="1:14" hidden="1" outlineLevel="1" x14ac:dyDescent="0.25">
      <c r="A134" s="42" t="s">
        <v>2371</v>
      </c>
      <c r="B134" s="76" t="s">
        <v>2520</v>
      </c>
      <c r="C134" s="76" t="s">
        <v>2521</v>
      </c>
      <c r="D134" s="66" t="s">
        <v>97</v>
      </c>
    </row>
    <row r="135" spans="1:14" collapsed="1" x14ac:dyDescent="0.25">
      <c r="A135" s="208" t="s">
        <v>2311</v>
      </c>
      <c r="B135" s="208"/>
      <c r="C135" s="208"/>
      <c r="D135" s="208"/>
      <c r="F135" s="56"/>
      <c r="G135" s="56"/>
      <c r="H135" s="56"/>
      <c r="I135" s="56"/>
      <c r="J135" s="56"/>
      <c r="K135" s="56"/>
      <c r="L135" s="56"/>
      <c r="M135" s="56"/>
      <c r="N135" s="56"/>
    </row>
    <row r="136" spans="1:14" x14ac:dyDescent="0.25">
      <c r="A136" s="203" t="s">
        <v>2312</v>
      </c>
      <c r="B136" s="203"/>
      <c r="C136" s="203"/>
      <c r="D136" s="203"/>
    </row>
    <row r="137" spans="1:14" ht="30" hidden="1" outlineLevel="1" x14ac:dyDescent="0.25">
      <c r="A137" s="42" t="s">
        <v>1707</v>
      </c>
      <c r="B137" s="64" t="s">
        <v>1716</v>
      </c>
      <c r="C137" s="64" t="s">
        <v>1717</v>
      </c>
      <c r="D137" s="66" t="s">
        <v>2458</v>
      </c>
    </row>
    <row r="138" spans="1:14" ht="45" hidden="1" outlineLevel="1" x14ac:dyDescent="0.25">
      <c r="A138" s="42" t="s">
        <v>1708</v>
      </c>
      <c r="B138" s="64" t="s">
        <v>1718</v>
      </c>
      <c r="C138" s="64" t="s">
        <v>1719</v>
      </c>
      <c r="D138" s="66" t="s">
        <v>2458</v>
      </c>
    </row>
    <row r="139" spans="1:14" ht="45" hidden="1" outlineLevel="1" x14ac:dyDescent="0.25">
      <c r="A139" s="42" t="s">
        <v>1709</v>
      </c>
      <c r="B139" s="64" t="s">
        <v>1720</v>
      </c>
      <c r="C139" s="64" t="s">
        <v>1721</v>
      </c>
      <c r="D139" s="66" t="s">
        <v>2458</v>
      </c>
    </row>
    <row r="140" spans="1:14" ht="45" hidden="1" outlineLevel="1" x14ac:dyDescent="0.25">
      <c r="A140" s="42" t="s">
        <v>1710</v>
      </c>
      <c r="B140" s="64" t="s">
        <v>1722</v>
      </c>
      <c r="C140" s="64" t="s">
        <v>1721</v>
      </c>
      <c r="D140" s="66" t="s">
        <v>2458</v>
      </c>
    </row>
    <row r="141" spans="1:14" ht="45" hidden="1" outlineLevel="1" x14ac:dyDescent="0.25">
      <c r="A141" s="42" t="s">
        <v>1711</v>
      </c>
      <c r="B141" s="64" t="s">
        <v>1723</v>
      </c>
      <c r="C141" s="64" t="s">
        <v>1721</v>
      </c>
      <c r="D141" s="66" t="s">
        <v>2458</v>
      </c>
    </row>
    <row r="142" spans="1:14" ht="45" hidden="1" outlineLevel="1" x14ac:dyDescent="0.25">
      <c r="A142" s="42" t="s">
        <v>1712</v>
      </c>
      <c r="B142" s="64" t="s">
        <v>1724</v>
      </c>
      <c r="C142" s="64" t="s">
        <v>1721</v>
      </c>
      <c r="D142" s="66" t="s">
        <v>2458</v>
      </c>
    </row>
    <row r="143" spans="1:14" ht="45" hidden="1" outlineLevel="1" x14ac:dyDescent="0.25">
      <c r="A143" s="42" t="s">
        <v>1713</v>
      </c>
      <c r="B143" s="64" t="s">
        <v>1725</v>
      </c>
      <c r="C143" s="64" t="s">
        <v>1721</v>
      </c>
      <c r="D143" s="66" t="s">
        <v>2458</v>
      </c>
    </row>
    <row r="144" spans="1:14" ht="45" hidden="1" outlineLevel="1" x14ac:dyDescent="0.25">
      <c r="A144" s="42" t="s">
        <v>1714</v>
      </c>
      <c r="B144" s="64" t="s">
        <v>1726</v>
      </c>
      <c r="C144" s="64" t="s">
        <v>1721</v>
      </c>
      <c r="D144" s="66" t="s">
        <v>2458</v>
      </c>
    </row>
    <row r="145" spans="1:14" ht="45" hidden="1" outlineLevel="1" x14ac:dyDescent="0.25">
      <c r="A145" s="42" t="s">
        <v>1715</v>
      </c>
      <c r="B145" s="64" t="s">
        <v>1727</v>
      </c>
      <c r="C145" s="64" t="s">
        <v>1728</v>
      </c>
      <c r="D145" s="66" t="s">
        <v>2458</v>
      </c>
    </row>
    <row r="146" spans="1:14" collapsed="1" x14ac:dyDescent="0.25">
      <c r="A146" s="203" t="s">
        <v>2313</v>
      </c>
      <c r="B146" s="203"/>
      <c r="C146" s="203"/>
      <c r="D146" s="203"/>
    </row>
    <row r="147" spans="1:14" ht="45" hidden="1" outlineLevel="1" x14ac:dyDescent="0.25">
      <c r="A147" s="42" t="s">
        <v>1731</v>
      </c>
      <c r="B147" s="64" t="s">
        <v>1729</v>
      </c>
      <c r="C147" s="64" t="s">
        <v>1730</v>
      </c>
      <c r="D147" s="66" t="s">
        <v>2458</v>
      </c>
    </row>
    <row r="148" spans="1:14" collapsed="1" x14ac:dyDescent="0.25">
      <c r="A148" s="209" t="s">
        <v>2314</v>
      </c>
      <c r="B148" s="209"/>
      <c r="C148" s="209"/>
      <c r="D148" s="209"/>
    </row>
    <row r="149" spans="1:14" x14ac:dyDescent="0.25">
      <c r="A149" s="208" t="s">
        <v>2315</v>
      </c>
      <c r="B149" s="208"/>
      <c r="C149" s="208"/>
      <c r="D149" s="208"/>
      <c r="F149" s="56"/>
      <c r="G149" s="56"/>
      <c r="H149" s="56"/>
      <c r="I149" s="56"/>
      <c r="J149" s="56"/>
      <c r="K149" s="56"/>
      <c r="L149" s="56"/>
      <c r="M149" s="56"/>
      <c r="N149" s="56"/>
    </row>
    <row r="150" spans="1:14" ht="45" hidden="1" outlineLevel="1" x14ac:dyDescent="0.25">
      <c r="A150" s="42" t="s">
        <v>773</v>
      </c>
      <c r="B150" s="64" t="s">
        <v>1732</v>
      </c>
      <c r="C150" s="64" t="s">
        <v>1733</v>
      </c>
      <c r="D150" s="66" t="s">
        <v>2458</v>
      </c>
    </row>
    <row r="151" spans="1:14" hidden="1" outlineLevel="1" x14ac:dyDescent="0.25">
      <c r="A151" s="42" t="s">
        <v>777</v>
      </c>
      <c r="B151" s="64" t="s">
        <v>1734</v>
      </c>
      <c r="C151" s="64" t="s">
        <v>1735</v>
      </c>
      <c r="D151" s="66" t="s">
        <v>2458</v>
      </c>
    </row>
    <row r="152" spans="1:14" hidden="1" outlineLevel="1" x14ac:dyDescent="0.25">
      <c r="A152" s="42" t="s">
        <v>781</v>
      </c>
      <c r="B152" s="64" t="s">
        <v>1736</v>
      </c>
      <c r="C152" s="64"/>
      <c r="D152" s="66" t="s">
        <v>2458</v>
      </c>
    </row>
    <row r="153" spans="1:14" collapsed="1" x14ac:dyDescent="0.25">
      <c r="A153" s="208" t="s">
        <v>2316</v>
      </c>
      <c r="B153" s="208"/>
      <c r="C153" s="208"/>
      <c r="D153" s="208"/>
      <c r="F153" s="56"/>
      <c r="G153" s="56"/>
      <c r="H153" s="56"/>
      <c r="I153" s="56"/>
      <c r="J153" s="56"/>
      <c r="K153" s="56"/>
      <c r="L153" s="56"/>
      <c r="M153" s="56"/>
      <c r="N153" s="56"/>
    </row>
    <row r="154" spans="1:14" hidden="1" outlineLevel="1" x14ac:dyDescent="0.25">
      <c r="A154" s="42" t="s">
        <v>1739</v>
      </c>
      <c r="B154" s="64" t="s">
        <v>1737</v>
      </c>
      <c r="C154" s="64" t="s">
        <v>1738</v>
      </c>
      <c r="D154" s="66" t="s">
        <v>2458</v>
      </c>
    </row>
    <row r="155" spans="1:14" hidden="1" outlineLevel="1" x14ac:dyDescent="0.25">
      <c r="A155" s="42" t="s">
        <v>221</v>
      </c>
      <c r="B155" s="64" t="s">
        <v>1744</v>
      </c>
      <c r="C155" s="64" t="s">
        <v>1738</v>
      </c>
      <c r="D155" s="66" t="s">
        <v>2458</v>
      </c>
    </row>
    <row r="156" spans="1:14" hidden="1" outlineLevel="1" x14ac:dyDescent="0.25">
      <c r="A156" s="42" t="s">
        <v>1740</v>
      </c>
      <c r="B156" s="64" t="s">
        <v>1745</v>
      </c>
      <c r="C156" s="64" t="s">
        <v>1738</v>
      </c>
      <c r="D156" s="66" t="s">
        <v>2458</v>
      </c>
    </row>
    <row r="157" spans="1:14" hidden="1" outlineLevel="1" x14ac:dyDescent="0.25">
      <c r="A157" s="42" t="s">
        <v>1741</v>
      </c>
      <c r="B157" s="64" t="s">
        <v>1748</v>
      </c>
      <c r="C157" s="64" t="s">
        <v>1738</v>
      </c>
      <c r="D157" s="66" t="s">
        <v>2458</v>
      </c>
    </row>
    <row r="158" spans="1:14" hidden="1" outlineLevel="1" x14ac:dyDescent="0.25">
      <c r="A158" s="42" t="s">
        <v>1742</v>
      </c>
      <c r="B158" s="64" t="s">
        <v>1746</v>
      </c>
      <c r="C158" s="64" t="s">
        <v>1738</v>
      </c>
      <c r="D158" s="66" t="s">
        <v>2458</v>
      </c>
    </row>
    <row r="159" spans="1:14" hidden="1" outlineLevel="1" x14ac:dyDescent="0.25">
      <c r="A159" s="42" t="s">
        <v>1743</v>
      </c>
      <c r="B159" s="64" t="s">
        <v>1747</v>
      </c>
      <c r="C159" s="64" t="s">
        <v>1738</v>
      </c>
      <c r="D159" s="66" t="s">
        <v>2458</v>
      </c>
    </row>
    <row r="160" spans="1:14" collapsed="1" x14ac:dyDescent="0.25">
      <c r="A160" s="208" t="s">
        <v>2317</v>
      </c>
      <c r="B160" s="208"/>
      <c r="C160" s="208"/>
      <c r="D160" s="208"/>
      <c r="F160" s="56"/>
      <c r="G160" s="56"/>
      <c r="H160" s="56"/>
      <c r="I160" s="56"/>
      <c r="J160" s="56"/>
      <c r="K160" s="56"/>
      <c r="L160" s="56"/>
      <c r="M160" s="56"/>
      <c r="N160" s="56"/>
    </row>
    <row r="161" spans="1:4" x14ac:dyDescent="0.25">
      <c r="A161" s="203" t="s">
        <v>2318</v>
      </c>
      <c r="B161" s="203"/>
      <c r="C161" s="203"/>
      <c r="D161" s="203"/>
    </row>
    <row r="162" spans="1:4" ht="30" hidden="1" outlineLevel="1" x14ac:dyDescent="0.25">
      <c r="A162" s="42" t="s">
        <v>1751</v>
      </c>
      <c r="B162" s="64" t="s">
        <v>1749</v>
      </c>
      <c r="C162" s="64" t="s">
        <v>1750</v>
      </c>
      <c r="D162" s="66" t="s">
        <v>2458</v>
      </c>
    </row>
    <row r="163" spans="1:4" ht="30" hidden="1" outlineLevel="1" x14ac:dyDescent="0.25">
      <c r="A163" s="42" t="s">
        <v>1752</v>
      </c>
      <c r="B163" s="64" t="s">
        <v>1769</v>
      </c>
      <c r="C163" s="64" t="s">
        <v>1750</v>
      </c>
      <c r="D163" s="66" t="s">
        <v>2458</v>
      </c>
    </row>
    <row r="164" spans="1:4" ht="30" hidden="1" outlineLevel="1" x14ac:dyDescent="0.25">
      <c r="A164" s="42" t="s">
        <v>1753</v>
      </c>
      <c r="B164" s="64" t="s">
        <v>1770</v>
      </c>
      <c r="C164" s="64" t="s">
        <v>1750</v>
      </c>
      <c r="D164" s="66" t="s">
        <v>2458</v>
      </c>
    </row>
    <row r="165" spans="1:4" ht="30" hidden="1" outlineLevel="1" x14ac:dyDescent="0.25">
      <c r="A165" s="42" t="s">
        <v>1754</v>
      </c>
      <c r="B165" s="64" t="s">
        <v>1771</v>
      </c>
      <c r="C165" s="64" t="s">
        <v>1772</v>
      </c>
      <c r="D165" s="66" t="s">
        <v>2458</v>
      </c>
    </row>
    <row r="166" spans="1:4" ht="30" hidden="1" outlineLevel="1" x14ac:dyDescent="0.25">
      <c r="A166" s="42" t="s">
        <v>1755</v>
      </c>
      <c r="B166" s="64" t="s">
        <v>1773</v>
      </c>
      <c r="C166" s="64" t="s">
        <v>1772</v>
      </c>
      <c r="D166" s="66" t="s">
        <v>2458</v>
      </c>
    </row>
    <row r="167" spans="1:4" ht="30" hidden="1" outlineLevel="1" x14ac:dyDescent="0.25">
      <c r="A167" s="42" t="s">
        <v>1756</v>
      </c>
      <c r="B167" s="64" t="s">
        <v>1774</v>
      </c>
      <c r="C167" s="64" t="s">
        <v>1775</v>
      </c>
      <c r="D167" s="66" t="s">
        <v>2458</v>
      </c>
    </row>
    <row r="168" spans="1:4" ht="30" hidden="1" outlineLevel="1" x14ac:dyDescent="0.25">
      <c r="A168" s="42" t="s">
        <v>1757</v>
      </c>
      <c r="B168" s="64" t="s">
        <v>1776</v>
      </c>
      <c r="C168" s="64" t="s">
        <v>1777</v>
      </c>
      <c r="D168" s="66" t="s">
        <v>2458</v>
      </c>
    </row>
    <row r="169" spans="1:4" ht="30" hidden="1" outlineLevel="1" x14ac:dyDescent="0.25">
      <c r="A169" s="42" t="s">
        <v>1758</v>
      </c>
      <c r="B169" s="64" t="s">
        <v>1778</v>
      </c>
      <c r="C169" s="64" t="s">
        <v>1779</v>
      </c>
      <c r="D169" s="66" t="s">
        <v>2458</v>
      </c>
    </row>
    <row r="170" spans="1:4" ht="30" hidden="1" outlineLevel="1" x14ac:dyDescent="0.25">
      <c r="A170" s="42" t="s">
        <v>1759</v>
      </c>
      <c r="B170" s="64" t="s">
        <v>1780</v>
      </c>
      <c r="C170" s="64" t="s">
        <v>1779</v>
      </c>
      <c r="D170" s="66" t="s">
        <v>2458</v>
      </c>
    </row>
    <row r="171" spans="1:4" ht="30" hidden="1" outlineLevel="1" x14ac:dyDescent="0.25">
      <c r="A171" s="42" t="s">
        <v>1760</v>
      </c>
      <c r="B171" s="64" t="s">
        <v>1781</v>
      </c>
      <c r="C171" s="64" t="s">
        <v>1782</v>
      </c>
      <c r="D171" s="66" t="s">
        <v>2458</v>
      </c>
    </row>
    <row r="172" spans="1:4" ht="30" hidden="1" outlineLevel="1" x14ac:dyDescent="0.25">
      <c r="A172" s="42" t="s">
        <v>1761</v>
      </c>
      <c r="B172" s="64" t="s">
        <v>1783</v>
      </c>
      <c r="C172" s="64" t="s">
        <v>1784</v>
      </c>
      <c r="D172" s="66" t="s">
        <v>2458</v>
      </c>
    </row>
    <row r="173" spans="1:4" ht="30" hidden="1" outlineLevel="1" x14ac:dyDescent="0.25">
      <c r="A173" s="42" t="s">
        <v>1762</v>
      </c>
      <c r="B173" s="64" t="s">
        <v>1785</v>
      </c>
      <c r="C173" s="64" t="s">
        <v>1786</v>
      </c>
      <c r="D173" s="66" t="s">
        <v>2458</v>
      </c>
    </row>
    <row r="174" spans="1:4" ht="30" hidden="1" outlineLevel="1" x14ac:dyDescent="0.25">
      <c r="A174" s="42" t="s">
        <v>1763</v>
      </c>
      <c r="B174" s="64" t="s">
        <v>1788</v>
      </c>
      <c r="C174" s="64" t="s">
        <v>1789</v>
      </c>
      <c r="D174" s="66" t="s">
        <v>2458</v>
      </c>
    </row>
    <row r="175" spans="1:4" ht="45" hidden="1" outlineLevel="1" x14ac:dyDescent="0.25">
      <c r="A175" s="42" t="s">
        <v>1764</v>
      </c>
      <c r="B175" s="64" t="s">
        <v>1787</v>
      </c>
      <c r="C175" s="64" t="s">
        <v>1790</v>
      </c>
      <c r="D175" s="66" t="s">
        <v>2458</v>
      </c>
    </row>
    <row r="176" spans="1:4" ht="45" hidden="1" outlineLevel="1" x14ac:dyDescent="0.25">
      <c r="A176" s="42" t="s">
        <v>1765</v>
      </c>
      <c r="B176" s="64" t="s">
        <v>1791</v>
      </c>
      <c r="C176" s="64" t="s">
        <v>1792</v>
      </c>
      <c r="D176" s="66" t="s">
        <v>2458</v>
      </c>
    </row>
    <row r="177" spans="1:14" ht="30" hidden="1" outlineLevel="1" x14ac:dyDescent="0.25">
      <c r="A177" s="42" t="s">
        <v>1766</v>
      </c>
      <c r="B177" s="64" t="s">
        <v>1793</v>
      </c>
      <c r="C177" s="64" t="s">
        <v>1794</v>
      </c>
      <c r="D177" s="66" t="s">
        <v>2458</v>
      </c>
    </row>
    <row r="178" spans="1:14" ht="30" hidden="1" outlineLevel="1" x14ac:dyDescent="0.25">
      <c r="A178" s="42" t="s">
        <v>1767</v>
      </c>
      <c r="B178" s="64" t="s">
        <v>1795</v>
      </c>
      <c r="C178" s="64" t="s">
        <v>1796</v>
      </c>
      <c r="D178" s="66" t="s">
        <v>2458</v>
      </c>
    </row>
    <row r="179" spans="1:14" ht="30" hidden="1" outlineLevel="1" x14ac:dyDescent="0.25">
      <c r="A179" s="42" t="s">
        <v>1768</v>
      </c>
      <c r="B179" s="64" t="s">
        <v>1797</v>
      </c>
      <c r="C179" s="64" t="s">
        <v>1798</v>
      </c>
      <c r="D179" s="66" t="s">
        <v>2458</v>
      </c>
    </row>
    <row r="180" spans="1:14" collapsed="1" x14ac:dyDescent="0.25">
      <c r="A180" s="203" t="s">
        <v>2319</v>
      </c>
      <c r="B180" s="203"/>
      <c r="C180" s="203"/>
      <c r="D180" s="203"/>
    </row>
    <row r="181" spans="1:14" ht="30" hidden="1" outlineLevel="1" x14ac:dyDescent="0.25">
      <c r="A181" s="42" t="s">
        <v>1800</v>
      </c>
      <c r="B181" s="64" t="s">
        <v>1799</v>
      </c>
      <c r="C181" s="64" t="s">
        <v>1750</v>
      </c>
      <c r="D181" s="66" t="s">
        <v>2458</v>
      </c>
    </row>
    <row r="182" spans="1:14" ht="30" hidden="1" outlineLevel="1" x14ac:dyDescent="0.25">
      <c r="A182" s="42" t="s">
        <v>1801</v>
      </c>
      <c r="B182" s="64" t="s">
        <v>1808</v>
      </c>
      <c r="C182" s="64" t="s">
        <v>1750</v>
      </c>
      <c r="D182" s="66" t="s">
        <v>2458</v>
      </c>
    </row>
    <row r="183" spans="1:14" ht="30" hidden="1" outlineLevel="1" x14ac:dyDescent="0.25">
      <c r="A183" s="42" t="s">
        <v>1802</v>
      </c>
      <c r="B183" s="64" t="s">
        <v>1809</v>
      </c>
      <c r="C183" s="64" t="s">
        <v>1779</v>
      </c>
      <c r="D183" s="66" t="s">
        <v>2458</v>
      </c>
    </row>
    <row r="184" spans="1:14" ht="30" hidden="1" outlineLevel="1" x14ac:dyDescent="0.25">
      <c r="A184" s="42" t="s">
        <v>1803</v>
      </c>
      <c r="B184" s="64" t="s">
        <v>1810</v>
      </c>
      <c r="C184" s="64" t="s">
        <v>1779</v>
      </c>
      <c r="D184" s="66" t="s">
        <v>2458</v>
      </c>
    </row>
    <row r="185" spans="1:14" ht="45" hidden="1" outlineLevel="1" x14ac:dyDescent="0.25">
      <c r="A185" s="42" t="s">
        <v>1804</v>
      </c>
      <c r="B185" s="64" t="s">
        <v>1811</v>
      </c>
      <c r="C185" s="64" t="s">
        <v>1812</v>
      </c>
      <c r="D185" s="66" t="s">
        <v>2458</v>
      </c>
    </row>
    <row r="186" spans="1:14" ht="45" hidden="1" outlineLevel="1" x14ac:dyDescent="0.25">
      <c r="A186" s="42" t="s">
        <v>1805</v>
      </c>
      <c r="B186" s="64" t="s">
        <v>1813</v>
      </c>
      <c r="C186" s="64" t="s">
        <v>1814</v>
      </c>
      <c r="D186" s="66" t="s">
        <v>2458</v>
      </c>
    </row>
    <row r="187" spans="1:14" ht="30" hidden="1" outlineLevel="1" x14ac:dyDescent="0.25">
      <c r="A187" s="42" t="s">
        <v>1806</v>
      </c>
      <c r="B187" s="64" t="s">
        <v>1815</v>
      </c>
      <c r="C187" s="64" t="s">
        <v>1816</v>
      </c>
      <c r="D187" s="66" t="s">
        <v>2458</v>
      </c>
    </row>
    <row r="188" spans="1:14" ht="30" hidden="1" outlineLevel="1" x14ac:dyDescent="0.25">
      <c r="A188" s="42" t="s">
        <v>1807</v>
      </c>
      <c r="B188" s="64" t="s">
        <v>1817</v>
      </c>
      <c r="C188" s="64" t="s">
        <v>1816</v>
      </c>
      <c r="D188" s="66" t="s">
        <v>2458</v>
      </c>
    </row>
    <row r="189" spans="1:14" collapsed="1" x14ac:dyDescent="0.25">
      <c r="A189" s="209" t="s">
        <v>2320</v>
      </c>
      <c r="B189" s="209"/>
      <c r="C189" s="209"/>
      <c r="D189" s="209"/>
    </row>
    <row r="190" spans="1:14" x14ac:dyDescent="0.25">
      <c r="A190" s="208" t="s">
        <v>2372</v>
      </c>
      <c r="B190" s="208"/>
      <c r="C190" s="208"/>
      <c r="D190" s="208"/>
      <c r="F190" s="56"/>
      <c r="G190" s="56"/>
      <c r="H190" s="56"/>
      <c r="I190" s="56"/>
      <c r="J190" s="56"/>
      <c r="K190" s="56"/>
      <c r="L190" s="56"/>
      <c r="M190" s="56"/>
      <c r="N190" s="56"/>
    </row>
    <row r="191" spans="1:14" ht="30" hidden="1" outlineLevel="1" x14ac:dyDescent="0.25">
      <c r="A191" s="42" t="s">
        <v>793</v>
      </c>
      <c r="B191" s="76" t="s">
        <v>2528</v>
      </c>
      <c r="C191" s="64" t="s">
        <v>2529</v>
      </c>
      <c r="D191" s="66" t="s">
        <v>136</v>
      </c>
    </row>
    <row r="192" spans="1:14" hidden="1" outlineLevel="1" x14ac:dyDescent="0.25">
      <c r="A192" s="42" t="s">
        <v>797</v>
      </c>
      <c r="B192" s="76" t="s">
        <v>2530</v>
      </c>
      <c r="C192" s="76" t="s">
        <v>2531</v>
      </c>
      <c r="D192" s="66" t="s">
        <v>136</v>
      </c>
    </row>
    <row r="193" spans="1:14" ht="30" hidden="1" outlineLevel="1" x14ac:dyDescent="0.25">
      <c r="A193" s="42" t="s">
        <v>800</v>
      </c>
      <c r="B193" s="76" t="s">
        <v>2532</v>
      </c>
      <c r="C193" s="64" t="s">
        <v>2533</v>
      </c>
      <c r="D193" s="66" t="s">
        <v>136</v>
      </c>
    </row>
    <row r="194" spans="1:14" ht="30" hidden="1" outlineLevel="1" x14ac:dyDescent="0.25">
      <c r="A194" s="42" t="s">
        <v>803</v>
      </c>
      <c r="B194" s="64" t="s">
        <v>2534</v>
      </c>
      <c r="C194" s="64" t="s">
        <v>1823</v>
      </c>
      <c r="D194" s="66" t="s">
        <v>136</v>
      </c>
    </row>
    <row r="195" spans="1:14" ht="45" hidden="1" outlineLevel="1" x14ac:dyDescent="0.25">
      <c r="A195" s="42" t="s">
        <v>806</v>
      </c>
      <c r="B195" s="76" t="s">
        <v>2535</v>
      </c>
      <c r="C195" s="64" t="s">
        <v>2536</v>
      </c>
      <c r="D195" s="66" t="s">
        <v>136</v>
      </c>
    </row>
    <row r="196" spans="1:14" ht="30" hidden="1" outlineLevel="1" x14ac:dyDescent="0.25">
      <c r="A196" s="42" t="s">
        <v>809</v>
      </c>
      <c r="B196" s="64" t="s">
        <v>2537</v>
      </c>
      <c r="C196" s="64" t="s">
        <v>2538</v>
      </c>
      <c r="D196" s="66" t="s">
        <v>136</v>
      </c>
    </row>
    <row r="197" spans="1:14" hidden="1" outlineLevel="1" x14ac:dyDescent="0.25">
      <c r="A197" s="42" t="s">
        <v>812</v>
      </c>
      <c r="B197" s="76" t="s">
        <v>2539</v>
      </c>
      <c r="C197" s="64" t="s">
        <v>2540</v>
      </c>
      <c r="D197" s="66" t="s">
        <v>136</v>
      </c>
    </row>
    <row r="198" spans="1:14" collapsed="1" x14ac:dyDescent="0.25">
      <c r="A198" s="209" t="s">
        <v>2322</v>
      </c>
      <c r="B198" s="209"/>
      <c r="C198" s="209"/>
      <c r="D198" s="209"/>
    </row>
    <row r="199" spans="1:14" x14ac:dyDescent="0.25">
      <c r="A199" s="208" t="s">
        <v>2323</v>
      </c>
      <c r="B199" s="208"/>
      <c r="C199" s="208"/>
      <c r="D199" s="208"/>
      <c r="F199" s="56"/>
      <c r="G199" s="56"/>
      <c r="H199" s="56"/>
      <c r="I199" s="56"/>
      <c r="J199" s="56"/>
      <c r="K199" s="56"/>
      <c r="L199" s="56"/>
      <c r="M199" s="56"/>
      <c r="N199" s="56"/>
    </row>
    <row r="200" spans="1:14" hidden="1" outlineLevel="1" x14ac:dyDescent="0.25">
      <c r="A200" s="42" t="s">
        <v>195</v>
      </c>
      <c r="B200" s="64" t="s">
        <v>1851</v>
      </c>
      <c r="C200" s="64" t="s">
        <v>1862</v>
      </c>
      <c r="D200" s="66" t="s">
        <v>2458</v>
      </c>
    </row>
    <row r="201" spans="1:14" hidden="1" outlineLevel="1" x14ac:dyDescent="0.25">
      <c r="A201" s="42" t="s">
        <v>879</v>
      </c>
      <c r="B201" s="64" t="s">
        <v>1863</v>
      </c>
      <c r="C201" s="64" t="s">
        <v>1864</v>
      </c>
      <c r="D201" s="66" t="s">
        <v>118</v>
      </c>
    </row>
    <row r="202" spans="1:14" hidden="1" outlineLevel="1" x14ac:dyDescent="0.25">
      <c r="A202" s="42" t="s">
        <v>883</v>
      </c>
      <c r="B202" s="64" t="s">
        <v>1865</v>
      </c>
      <c r="C202" s="64" t="s">
        <v>1866</v>
      </c>
      <c r="D202" s="66" t="s">
        <v>2458</v>
      </c>
    </row>
    <row r="203" spans="1:14" hidden="1" outlineLevel="1" x14ac:dyDescent="0.25">
      <c r="A203" s="42" t="s">
        <v>887</v>
      </c>
      <c r="B203" s="64" t="s">
        <v>1867</v>
      </c>
      <c r="C203" s="64" t="s">
        <v>1868</v>
      </c>
      <c r="D203" s="66" t="s">
        <v>118</v>
      </c>
    </row>
    <row r="204" spans="1:14" ht="60" hidden="1" outlineLevel="1" x14ac:dyDescent="0.25">
      <c r="A204" s="42" t="s">
        <v>890</v>
      </c>
      <c r="B204" s="64" t="s">
        <v>1869</v>
      </c>
      <c r="C204" s="64" t="s">
        <v>1870</v>
      </c>
      <c r="D204" s="66" t="s">
        <v>2458</v>
      </c>
    </row>
    <row r="205" spans="1:14" ht="30" hidden="1" outlineLevel="1" x14ac:dyDescent="0.25">
      <c r="A205" s="42" t="s">
        <v>893</v>
      </c>
      <c r="B205" s="64" t="s">
        <v>1871</v>
      </c>
      <c r="C205" s="64" t="s">
        <v>1872</v>
      </c>
      <c r="D205" s="66" t="s">
        <v>2458</v>
      </c>
    </row>
    <row r="206" spans="1:14" ht="45" hidden="1" outlineLevel="1" x14ac:dyDescent="0.25">
      <c r="A206" s="42" t="s">
        <v>896</v>
      </c>
      <c r="B206" s="64" t="s">
        <v>1873</v>
      </c>
      <c r="C206" s="64" t="s">
        <v>1874</v>
      </c>
      <c r="D206" s="66" t="s">
        <v>116</v>
      </c>
    </row>
    <row r="207" spans="1:14" ht="45" hidden="1" outlineLevel="1" x14ac:dyDescent="0.25">
      <c r="A207" s="42" t="s">
        <v>899</v>
      </c>
      <c r="B207" s="64" t="s">
        <v>1875</v>
      </c>
      <c r="C207" s="64" t="s">
        <v>1876</v>
      </c>
      <c r="D207" s="66" t="s">
        <v>116</v>
      </c>
    </row>
    <row r="208" spans="1:14" ht="30" hidden="1" outlineLevel="1" x14ac:dyDescent="0.25">
      <c r="A208" s="42" t="s">
        <v>902</v>
      </c>
      <c r="B208" s="64" t="s">
        <v>1877</v>
      </c>
      <c r="C208" s="64" t="s">
        <v>1878</v>
      </c>
      <c r="D208" s="66" t="s">
        <v>2458</v>
      </c>
    </row>
    <row r="209" spans="1:14" ht="30" hidden="1" outlineLevel="1" x14ac:dyDescent="0.25">
      <c r="A209" s="42" t="s">
        <v>905</v>
      </c>
      <c r="B209" s="64" t="s">
        <v>1879</v>
      </c>
      <c r="C209" s="64" t="s">
        <v>1880</v>
      </c>
      <c r="D209" s="66" t="s">
        <v>2458</v>
      </c>
    </row>
    <row r="210" spans="1:14" hidden="1" outlineLevel="1" x14ac:dyDescent="0.25">
      <c r="A210" s="42" t="s">
        <v>908</v>
      </c>
      <c r="B210" s="64" t="s">
        <v>1881</v>
      </c>
      <c r="C210" s="64" t="s">
        <v>1882</v>
      </c>
      <c r="D210" s="66" t="s">
        <v>116</v>
      </c>
    </row>
    <row r="211" spans="1:14" hidden="1" outlineLevel="1" x14ac:dyDescent="0.25">
      <c r="A211" s="42" t="s">
        <v>911</v>
      </c>
      <c r="B211" s="64" t="s">
        <v>1883</v>
      </c>
      <c r="C211" s="64" t="s">
        <v>1884</v>
      </c>
      <c r="D211" s="66" t="s">
        <v>2458</v>
      </c>
    </row>
    <row r="212" spans="1:14" ht="30" hidden="1" outlineLevel="1" x14ac:dyDescent="0.25">
      <c r="A212" s="42" t="s">
        <v>914</v>
      </c>
      <c r="B212" s="64" t="s">
        <v>1887</v>
      </c>
      <c r="C212" s="64" t="s">
        <v>1888</v>
      </c>
      <c r="D212" s="66" t="s">
        <v>116</v>
      </c>
    </row>
    <row r="213" spans="1:14" ht="75" hidden="1" outlineLevel="1" x14ac:dyDescent="0.25">
      <c r="A213" s="42" t="s">
        <v>1852</v>
      </c>
      <c r="B213" s="64" t="s">
        <v>1889</v>
      </c>
      <c r="C213" s="64" t="s">
        <v>1890</v>
      </c>
      <c r="D213" s="66" t="s">
        <v>2458</v>
      </c>
    </row>
    <row r="214" spans="1:14" hidden="1" outlineLevel="1" x14ac:dyDescent="0.25">
      <c r="A214" s="42" t="s">
        <v>1853</v>
      </c>
      <c r="B214" s="64" t="s">
        <v>1891</v>
      </c>
      <c r="C214" s="64" t="s">
        <v>1892</v>
      </c>
      <c r="D214" s="66" t="s">
        <v>2458</v>
      </c>
    </row>
    <row r="215" spans="1:14" hidden="1" outlineLevel="1" x14ac:dyDescent="0.25">
      <c r="A215" s="42" t="s">
        <v>1854</v>
      </c>
      <c r="B215" s="64" t="s">
        <v>1893</v>
      </c>
      <c r="C215" s="64" t="s">
        <v>1894</v>
      </c>
      <c r="D215" s="66" t="s">
        <v>116</v>
      </c>
    </row>
    <row r="216" spans="1:14" ht="30" hidden="1" outlineLevel="1" x14ac:dyDescent="0.25">
      <c r="A216" s="42" t="s">
        <v>1855</v>
      </c>
      <c r="B216" s="64" t="s">
        <v>1895</v>
      </c>
      <c r="C216" s="64" t="s">
        <v>1896</v>
      </c>
      <c r="D216" s="66" t="s">
        <v>2458</v>
      </c>
    </row>
    <row r="217" spans="1:14" ht="30" hidden="1" outlineLevel="1" x14ac:dyDescent="0.25">
      <c r="A217" s="42" t="s">
        <v>1856</v>
      </c>
      <c r="B217" s="64" t="s">
        <v>1897</v>
      </c>
      <c r="C217" s="64" t="s">
        <v>1898</v>
      </c>
      <c r="D217" s="66" t="s">
        <v>2458</v>
      </c>
    </row>
    <row r="218" spans="1:14" hidden="1" outlineLevel="1" x14ac:dyDescent="0.25">
      <c r="A218" s="42" t="s">
        <v>1857</v>
      </c>
      <c r="B218" s="64" t="s">
        <v>1899</v>
      </c>
      <c r="C218" s="64" t="s">
        <v>1900</v>
      </c>
      <c r="D218" s="66" t="s">
        <v>118</v>
      </c>
    </row>
    <row r="219" spans="1:14" hidden="1" outlineLevel="1" x14ac:dyDescent="0.25">
      <c r="A219" s="42" t="s">
        <v>1858</v>
      </c>
      <c r="B219" s="64" t="s">
        <v>1901</v>
      </c>
      <c r="C219" s="64" t="s">
        <v>1902</v>
      </c>
      <c r="D219" s="66" t="s">
        <v>2461</v>
      </c>
    </row>
    <row r="220" spans="1:14" ht="30" hidden="1" outlineLevel="1" x14ac:dyDescent="0.25">
      <c r="A220" s="42" t="s">
        <v>1859</v>
      </c>
      <c r="B220" s="64" t="s">
        <v>1903</v>
      </c>
      <c r="C220" s="64" t="s">
        <v>1904</v>
      </c>
      <c r="D220" s="66" t="s">
        <v>2458</v>
      </c>
    </row>
    <row r="221" spans="1:14" ht="45" hidden="1" outlineLevel="1" x14ac:dyDescent="0.25">
      <c r="A221" s="42" t="s">
        <v>1860</v>
      </c>
      <c r="B221" s="64" t="s">
        <v>1905</v>
      </c>
      <c r="C221" s="64" t="s">
        <v>1906</v>
      </c>
      <c r="D221" s="66" t="s">
        <v>2462</v>
      </c>
    </row>
    <row r="222" spans="1:14" collapsed="1" x14ac:dyDescent="0.25">
      <c r="A222" s="208" t="s">
        <v>2324</v>
      </c>
      <c r="B222" s="208"/>
      <c r="C222" s="208"/>
      <c r="D222" s="208"/>
      <c r="F222" s="56"/>
      <c r="G222" s="56"/>
      <c r="H222" s="56"/>
      <c r="I222" s="56"/>
      <c r="J222" s="56"/>
      <c r="K222" s="56"/>
      <c r="L222" s="56"/>
      <c r="M222" s="56"/>
      <c r="N222" s="56"/>
    </row>
    <row r="223" spans="1:14" ht="30" hidden="1" outlineLevel="1" x14ac:dyDescent="0.25">
      <c r="A223" s="42" t="s">
        <v>234</v>
      </c>
      <c r="B223" s="64" t="s">
        <v>1907</v>
      </c>
      <c r="C223" s="64" t="s">
        <v>1908</v>
      </c>
      <c r="D223" s="66" t="s">
        <v>102</v>
      </c>
    </row>
    <row r="224" spans="1:14" ht="30" hidden="1" outlineLevel="1" x14ac:dyDescent="0.25">
      <c r="A224" s="42" t="s">
        <v>430</v>
      </c>
      <c r="B224" s="64" t="s">
        <v>1909</v>
      </c>
      <c r="C224" s="64" t="s">
        <v>1910</v>
      </c>
      <c r="D224" s="66" t="s">
        <v>102</v>
      </c>
    </row>
    <row r="225" spans="1:14" hidden="1" outlineLevel="1" x14ac:dyDescent="0.25">
      <c r="A225" s="42" t="s">
        <v>924</v>
      </c>
      <c r="B225" s="64" t="s">
        <v>1911</v>
      </c>
      <c r="C225" s="64" t="s">
        <v>1912</v>
      </c>
      <c r="D225" s="66" t="s">
        <v>102</v>
      </c>
    </row>
    <row r="226" spans="1:14" hidden="1" outlineLevel="1" x14ac:dyDescent="0.25">
      <c r="A226" s="42" t="s">
        <v>465</v>
      </c>
      <c r="B226" s="64" t="s">
        <v>1913</v>
      </c>
      <c r="C226" s="64" t="s">
        <v>1914</v>
      </c>
      <c r="D226" s="66" t="s">
        <v>102</v>
      </c>
    </row>
    <row r="227" spans="1:14" hidden="1" outlineLevel="1" x14ac:dyDescent="0.25">
      <c r="A227" s="42" t="s">
        <v>929</v>
      </c>
      <c r="B227" s="64" t="s">
        <v>1915</v>
      </c>
      <c r="C227" s="64"/>
      <c r="D227" s="66" t="s">
        <v>102</v>
      </c>
    </row>
    <row r="228" spans="1:14" hidden="1" outlineLevel="1" x14ac:dyDescent="0.25">
      <c r="A228" s="42" t="s">
        <v>932</v>
      </c>
      <c r="B228" s="64" t="s">
        <v>1916</v>
      </c>
      <c r="C228" s="64" t="s">
        <v>1917</v>
      </c>
      <c r="D228" s="66" t="s">
        <v>102</v>
      </c>
    </row>
    <row r="229" spans="1:14" ht="45" hidden="1" outlineLevel="1" x14ac:dyDescent="0.25">
      <c r="A229" s="42" t="s">
        <v>480</v>
      </c>
      <c r="B229" s="64" t="s">
        <v>1918</v>
      </c>
      <c r="C229" s="64" t="s">
        <v>1919</v>
      </c>
      <c r="D229" s="66" t="s">
        <v>102</v>
      </c>
    </row>
    <row r="230" spans="1:14" collapsed="1" x14ac:dyDescent="0.25">
      <c r="A230" s="208" t="s">
        <v>2325</v>
      </c>
      <c r="B230" s="208"/>
      <c r="C230" s="208"/>
      <c r="D230" s="208"/>
      <c r="F230" s="56"/>
      <c r="G230" s="56"/>
      <c r="H230" s="56"/>
      <c r="I230" s="56"/>
      <c r="J230" s="56"/>
      <c r="K230" s="56"/>
      <c r="L230" s="56"/>
      <c r="M230" s="56"/>
      <c r="N230" s="56"/>
    </row>
    <row r="231" spans="1:14" x14ac:dyDescent="0.25">
      <c r="A231" s="203" t="s">
        <v>2527</v>
      </c>
      <c r="B231" s="203"/>
      <c r="C231" s="203"/>
      <c r="D231" s="203"/>
    </row>
    <row r="232" spans="1:14" hidden="1" outlineLevel="1" x14ac:dyDescent="0.25">
      <c r="A232" s="42" t="s">
        <v>1920</v>
      </c>
      <c r="B232" s="7" t="s">
        <v>2524</v>
      </c>
      <c r="C232" s="7"/>
      <c r="D232" s="66" t="s">
        <v>100</v>
      </c>
    </row>
    <row r="233" spans="1:14" hidden="1" outlineLevel="1" x14ac:dyDescent="0.25">
      <c r="A233" s="42" t="s">
        <v>1921</v>
      </c>
      <c r="B233" s="64" t="s">
        <v>1935</v>
      </c>
      <c r="C233" s="64" t="s">
        <v>1936</v>
      </c>
      <c r="D233" s="66" t="s">
        <v>100</v>
      </c>
    </row>
    <row r="234" spans="1:14" hidden="1" outlineLevel="1" x14ac:dyDescent="0.25">
      <c r="A234" s="42" t="s">
        <v>1922</v>
      </c>
      <c r="B234" s="64" t="s">
        <v>1937</v>
      </c>
      <c r="C234" s="64" t="s">
        <v>1938</v>
      </c>
      <c r="D234" s="66" t="s">
        <v>100</v>
      </c>
    </row>
    <row r="235" spans="1:14" hidden="1" outlineLevel="1" x14ac:dyDescent="0.25">
      <c r="A235" s="42" t="s">
        <v>2525</v>
      </c>
      <c r="B235" s="64" t="s">
        <v>1939</v>
      </c>
      <c r="C235" s="64" t="s">
        <v>1938</v>
      </c>
      <c r="D235" s="66" t="s">
        <v>100</v>
      </c>
    </row>
    <row r="236" spans="1:14" hidden="1" outlineLevel="1" x14ac:dyDescent="0.25">
      <c r="A236" s="42" t="s">
        <v>2526</v>
      </c>
      <c r="B236" s="64" t="s">
        <v>1933</v>
      </c>
      <c r="C236" s="64" t="s">
        <v>1934</v>
      </c>
      <c r="D236" s="66" t="s">
        <v>100</v>
      </c>
    </row>
    <row r="237" spans="1:14" collapsed="1" x14ac:dyDescent="0.25">
      <c r="A237" s="203" t="s">
        <v>2328</v>
      </c>
      <c r="B237" s="203"/>
      <c r="C237" s="203"/>
      <c r="D237" s="203"/>
    </row>
    <row r="238" spans="1:14" x14ac:dyDescent="0.25">
      <c r="A238" s="207" t="s">
        <v>2329</v>
      </c>
      <c r="B238" s="207"/>
      <c r="C238" s="207"/>
      <c r="D238" s="207"/>
    </row>
    <row r="239" spans="1:14" hidden="1" outlineLevel="1" x14ac:dyDescent="0.25">
      <c r="A239" s="42" t="s">
        <v>2464</v>
      </c>
      <c r="B239" s="64" t="s">
        <v>1943</v>
      </c>
      <c r="C239" s="64" t="s">
        <v>1936</v>
      </c>
      <c r="D239" s="66" t="s">
        <v>100</v>
      </c>
    </row>
    <row r="240" spans="1:14" hidden="1" outlineLevel="1" x14ac:dyDescent="0.25">
      <c r="A240" s="42" t="s">
        <v>2465</v>
      </c>
      <c r="B240" s="64" t="s">
        <v>1944</v>
      </c>
      <c r="C240" s="64" t="s">
        <v>1936</v>
      </c>
      <c r="D240" s="66" t="s">
        <v>100</v>
      </c>
    </row>
    <row r="241" spans="1:4" hidden="1" outlineLevel="1" x14ac:dyDescent="0.25">
      <c r="A241" s="42" t="s">
        <v>2466</v>
      </c>
      <c r="B241" s="64" t="s">
        <v>1945</v>
      </c>
      <c r="C241" s="64" t="s">
        <v>1936</v>
      </c>
      <c r="D241" s="66" t="s">
        <v>100</v>
      </c>
    </row>
    <row r="242" spans="1:4" collapsed="1" x14ac:dyDescent="0.25">
      <c r="A242" s="207" t="s">
        <v>2330</v>
      </c>
      <c r="B242" s="207"/>
      <c r="C242" s="207"/>
      <c r="D242" s="207"/>
    </row>
    <row r="243" spans="1:4" hidden="1" outlineLevel="1" x14ac:dyDescent="0.25">
      <c r="A243" s="42" t="s">
        <v>2467</v>
      </c>
      <c r="B243" s="64" t="s">
        <v>1946</v>
      </c>
      <c r="C243" s="64" t="s">
        <v>1955</v>
      </c>
      <c r="D243" s="66" t="s">
        <v>100</v>
      </c>
    </row>
    <row r="244" spans="1:4" hidden="1" outlineLevel="1" x14ac:dyDescent="0.25">
      <c r="A244" s="42" t="s">
        <v>2468</v>
      </c>
      <c r="B244" s="8" t="s">
        <v>1956</v>
      </c>
      <c r="C244" s="65" t="s">
        <v>1957</v>
      </c>
      <c r="D244" s="66" t="s">
        <v>100</v>
      </c>
    </row>
    <row r="245" spans="1:4" hidden="1" outlineLevel="1" x14ac:dyDescent="0.25">
      <c r="A245" s="42" t="s">
        <v>2469</v>
      </c>
      <c r="B245" s="8" t="s">
        <v>1958</v>
      </c>
      <c r="C245" s="65" t="s">
        <v>1959</v>
      </c>
      <c r="D245" s="66" t="s">
        <v>100</v>
      </c>
    </row>
    <row r="246" spans="1:4" hidden="1" outlineLevel="1" x14ac:dyDescent="0.25">
      <c r="A246" s="42" t="s">
        <v>2470</v>
      </c>
      <c r="B246" s="8" t="s">
        <v>1960</v>
      </c>
      <c r="C246" s="65" t="s">
        <v>1955</v>
      </c>
      <c r="D246" s="66" t="s">
        <v>100</v>
      </c>
    </row>
    <row r="247" spans="1:4" hidden="1" outlineLevel="1" x14ac:dyDescent="0.25">
      <c r="A247" s="42" t="s">
        <v>2471</v>
      </c>
      <c r="B247" s="8" t="s">
        <v>1961</v>
      </c>
      <c r="C247" s="65" t="s">
        <v>1955</v>
      </c>
      <c r="D247" s="66" t="s">
        <v>100</v>
      </c>
    </row>
    <row r="248" spans="1:4" ht="30" hidden="1" outlineLevel="1" x14ac:dyDescent="0.25">
      <c r="A248" s="42" t="s">
        <v>2472</v>
      </c>
      <c r="B248" s="8" t="s">
        <v>1962</v>
      </c>
      <c r="C248" s="65" t="s">
        <v>1963</v>
      </c>
      <c r="D248" s="66" t="s">
        <v>100</v>
      </c>
    </row>
    <row r="249" spans="1:4" hidden="1" outlineLevel="1" x14ac:dyDescent="0.25">
      <c r="A249" s="42" t="s">
        <v>2473</v>
      </c>
      <c r="B249" s="8" t="s">
        <v>1965</v>
      </c>
      <c r="C249" s="65" t="s">
        <v>1955</v>
      </c>
      <c r="D249" s="66" t="s">
        <v>100</v>
      </c>
    </row>
    <row r="250" spans="1:4" collapsed="1" x14ac:dyDescent="0.25">
      <c r="A250" s="207" t="s">
        <v>2331</v>
      </c>
      <c r="B250" s="207"/>
      <c r="C250" s="207"/>
      <c r="D250" s="207"/>
    </row>
    <row r="251" spans="1:4" ht="30" hidden="1" outlineLevel="1" x14ac:dyDescent="0.25">
      <c r="A251" s="68" t="s">
        <v>2474</v>
      </c>
      <c r="B251" s="8" t="s">
        <v>1966</v>
      </c>
      <c r="C251" s="65" t="s">
        <v>1967</v>
      </c>
      <c r="D251" s="66" t="s">
        <v>100</v>
      </c>
    </row>
    <row r="252" spans="1:4" ht="30" hidden="1" outlineLevel="1" x14ac:dyDescent="0.25">
      <c r="A252" s="68" t="s">
        <v>2475</v>
      </c>
      <c r="B252" s="8" t="s">
        <v>1971</v>
      </c>
      <c r="C252" s="65" t="s">
        <v>1967</v>
      </c>
      <c r="D252" s="66" t="s">
        <v>100</v>
      </c>
    </row>
    <row r="253" spans="1:4" hidden="1" outlineLevel="1" x14ac:dyDescent="0.25">
      <c r="A253" s="68" t="s">
        <v>2476</v>
      </c>
      <c r="B253" s="64" t="s">
        <v>1972</v>
      </c>
      <c r="C253" s="64" t="s">
        <v>1973</v>
      </c>
      <c r="D253" s="66" t="s">
        <v>100</v>
      </c>
    </row>
    <row r="254" spans="1:4" collapsed="1" x14ac:dyDescent="0.25">
      <c r="A254" s="207" t="s">
        <v>2332</v>
      </c>
      <c r="B254" s="207"/>
      <c r="C254" s="207"/>
      <c r="D254" s="207"/>
    </row>
    <row r="255" spans="1:4" hidden="1" outlineLevel="1" x14ac:dyDescent="0.25">
      <c r="A255" s="42" t="s">
        <v>2477</v>
      </c>
      <c r="B255" s="64" t="s">
        <v>1978</v>
      </c>
      <c r="C255" s="64" t="s">
        <v>1979</v>
      </c>
      <c r="D255" s="66" t="s">
        <v>2458</v>
      </c>
    </row>
    <row r="256" spans="1:4" ht="45" hidden="1" outlineLevel="1" x14ac:dyDescent="0.25">
      <c r="A256" s="42" t="s">
        <v>2478</v>
      </c>
      <c r="B256" s="64" t="s">
        <v>1980</v>
      </c>
      <c r="C256" s="64" t="s">
        <v>1981</v>
      </c>
      <c r="D256" s="66" t="s">
        <v>2458</v>
      </c>
    </row>
    <row r="257" spans="1:14" ht="45" hidden="1" outlineLevel="1" x14ac:dyDescent="0.25">
      <c r="A257" s="42" t="s">
        <v>2479</v>
      </c>
      <c r="B257" s="64" t="s">
        <v>1982</v>
      </c>
      <c r="C257" s="64" t="s">
        <v>1983</v>
      </c>
      <c r="D257" s="66" t="s">
        <v>2458</v>
      </c>
    </row>
    <row r="258" spans="1:14" hidden="1" outlineLevel="1" x14ac:dyDescent="0.25">
      <c r="A258" s="42" t="s">
        <v>2480</v>
      </c>
      <c r="B258" s="64" t="s">
        <v>1984</v>
      </c>
      <c r="C258" s="64" t="s">
        <v>1973</v>
      </c>
      <c r="D258" s="66" t="s">
        <v>2458</v>
      </c>
    </row>
    <row r="259" spans="1:14" collapsed="1" x14ac:dyDescent="0.25">
      <c r="A259" s="208" t="s">
        <v>2333</v>
      </c>
      <c r="B259" s="208"/>
      <c r="C259" s="208"/>
      <c r="D259" s="208"/>
      <c r="F259" s="56"/>
      <c r="G259" s="56"/>
      <c r="H259" s="56"/>
      <c r="I259" s="56"/>
      <c r="J259" s="56"/>
      <c r="K259" s="56"/>
      <c r="L259" s="56"/>
      <c r="M259" s="56"/>
      <c r="N259" s="56"/>
    </row>
    <row r="260" spans="1:14" x14ac:dyDescent="0.25">
      <c r="A260" s="203" t="s">
        <v>2334</v>
      </c>
      <c r="B260" s="203"/>
      <c r="C260" s="203"/>
      <c r="D260" s="203"/>
    </row>
    <row r="261" spans="1:14" ht="45" hidden="1" outlineLevel="1" x14ac:dyDescent="0.25">
      <c r="A261" s="42" t="s">
        <v>1986</v>
      </c>
      <c r="B261" s="64" t="s">
        <v>1985</v>
      </c>
      <c r="C261" s="64" t="s">
        <v>1992</v>
      </c>
      <c r="D261" s="66" t="s">
        <v>100</v>
      </c>
    </row>
    <row r="262" spans="1:14" ht="30" hidden="1" outlineLevel="1" x14ac:dyDescent="0.25">
      <c r="A262" s="42" t="s">
        <v>1987</v>
      </c>
      <c r="B262" s="64" t="s">
        <v>1993</v>
      </c>
      <c r="C262" s="64" t="s">
        <v>1994</v>
      </c>
      <c r="D262" s="66" t="s">
        <v>100</v>
      </c>
    </row>
    <row r="263" spans="1:14" ht="30" hidden="1" outlineLevel="1" x14ac:dyDescent="0.25">
      <c r="A263" s="42" t="s">
        <v>1988</v>
      </c>
      <c r="B263" s="64" t="s">
        <v>1995</v>
      </c>
      <c r="C263" s="64" t="s">
        <v>1996</v>
      </c>
      <c r="D263" s="66" t="s">
        <v>100</v>
      </c>
    </row>
    <row r="264" spans="1:14" ht="45" hidden="1" outlineLevel="1" x14ac:dyDescent="0.25">
      <c r="A264" s="42" t="s">
        <v>1989</v>
      </c>
      <c r="B264" s="64" t="s">
        <v>1997</v>
      </c>
      <c r="C264" s="64" t="s">
        <v>1998</v>
      </c>
      <c r="D264" s="66" t="s">
        <v>2458</v>
      </c>
    </row>
    <row r="265" spans="1:14" hidden="1" outlineLevel="1" x14ac:dyDescent="0.25">
      <c r="A265" s="42" t="s">
        <v>1990</v>
      </c>
      <c r="B265" s="64" t="s">
        <v>1999</v>
      </c>
      <c r="C265" s="64" t="s">
        <v>2000</v>
      </c>
      <c r="D265" s="66" t="s">
        <v>2458</v>
      </c>
    </row>
    <row r="266" spans="1:14" hidden="1" outlineLevel="1" x14ac:dyDescent="0.25">
      <c r="A266" s="42" t="s">
        <v>1991</v>
      </c>
      <c r="B266" s="64" t="s">
        <v>2001</v>
      </c>
      <c r="C266" s="64" t="s">
        <v>2002</v>
      </c>
      <c r="D266" s="66" t="s">
        <v>2458</v>
      </c>
    </row>
    <row r="267" spans="1:14" collapsed="1" x14ac:dyDescent="0.25">
      <c r="A267" s="203" t="s">
        <v>2335</v>
      </c>
      <c r="B267" s="203"/>
      <c r="C267" s="203"/>
      <c r="D267" s="203"/>
    </row>
    <row r="268" spans="1:14" ht="30" hidden="1" outlineLevel="1" x14ac:dyDescent="0.25">
      <c r="A268" s="42" t="s">
        <v>2004</v>
      </c>
      <c r="B268" s="64" t="s">
        <v>2003</v>
      </c>
      <c r="C268" s="64" t="s">
        <v>2005</v>
      </c>
      <c r="D268" s="66" t="s">
        <v>86</v>
      </c>
    </row>
    <row r="269" spans="1:14" hidden="1" outlineLevel="1" x14ac:dyDescent="0.25">
      <c r="A269" s="42" t="s">
        <v>2006</v>
      </c>
      <c r="B269" s="64" t="s">
        <v>2013</v>
      </c>
      <c r="C269" s="64" t="s">
        <v>2014</v>
      </c>
      <c r="D269" s="66" t="s">
        <v>2458</v>
      </c>
    </row>
    <row r="270" spans="1:14" hidden="1" outlineLevel="1" x14ac:dyDescent="0.25">
      <c r="A270" s="42" t="s">
        <v>2007</v>
      </c>
      <c r="B270" s="64" t="s">
        <v>2015</v>
      </c>
      <c r="C270" s="64" t="s">
        <v>2016</v>
      </c>
      <c r="D270" s="66" t="s">
        <v>2458</v>
      </c>
    </row>
    <row r="271" spans="1:14" hidden="1" outlineLevel="1" x14ac:dyDescent="0.25">
      <c r="A271" s="42" t="s">
        <v>2008</v>
      </c>
      <c r="B271" s="64" t="s">
        <v>2017</v>
      </c>
      <c r="C271" s="64" t="s">
        <v>2018</v>
      </c>
      <c r="D271" s="66" t="s">
        <v>2458</v>
      </c>
    </row>
    <row r="272" spans="1:14" ht="30" hidden="1" outlineLevel="1" x14ac:dyDescent="0.25">
      <c r="A272" s="42" t="s">
        <v>2009</v>
      </c>
      <c r="B272" s="64" t="s">
        <v>2019</v>
      </c>
      <c r="C272" s="64" t="s">
        <v>2020</v>
      </c>
      <c r="D272" s="66" t="s">
        <v>2458</v>
      </c>
    </row>
    <row r="273" spans="1:14" ht="30" hidden="1" outlineLevel="1" x14ac:dyDescent="0.25">
      <c r="A273" s="42" t="s">
        <v>2010</v>
      </c>
      <c r="B273" s="64" t="s">
        <v>2021</v>
      </c>
      <c r="C273" s="64" t="s">
        <v>2022</v>
      </c>
      <c r="D273" s="66" t="s">
        <v>2458</v>
      </c>
    </row>
    <row r="274" spans="1:14" ht="60" hidden="1" outlineLevel="1" x14ac:dyDescent="0.25">
      <c r="A274" s="42" t="s">
        <v>2011</v>
      </c>
      <c r="B274" s="64" t="s">
        <v>2023</v>
      </c>
      <c r="C274" s="64" t="s">
        <v>2024</v>
      </c>
      <c r="D274" s="66" t="s">
        <v>86</v>
      </c>
    </row>
    <row r="275" spans="1:14" ht="60" hidden="1" outlineLevel="1" x14ac:dyDescent="0.25">
      <c r="A275" s="42" t="s">
        <v>2012</v>
      </c>
      <c r="B275" s="64" t="s">
        <v>2025</v>
      </c>
      <c r="C275" s="64" t="s">
        <v>2024</v>
      </c>
      <c r="D275" s="66" t="s">
        <v>86</v>
      </c>
    </row>
    <row r="276" spans="1:14" collapsed="1" x14ac:dyDescent="0.25">
      <c r="A276" s="203" t="s">
        <v>2336</v>
      </c>
      <c r="B276" s="203"/>
      <c r="C276" s="203"/>
      <c r="D276" s="203"/>
    </row>
    <row r="277" spans="1:14" ht="30" hidden="1" outlineLevel="1" x14ac:dyDescent="0.25">
      <c r="A277" s="42" t="s">
        <v>2027</v>
      </c>
      <c r="B277" s="64" t="s">
        <v>2026</v>
      </c>
      <c r="C277" s="64" t="s">
        <v>2030</v>
      </c>
      <c r="D277" s="66" t="s">
        <v>2458</v>
      </c>
    </row>
    <row r="278" spans="1:14" ht="30" hidden="1" outlineLevel="1" x14ac:dyDescent="0.25">
      <c r="A278" s="42" t="s">
        <v>2028</v>
      </c>
      <c r="B278" s="64" t="s">
        <v>2031</v>
      </c>
      <c r="C278" s="64" t="s">
        <v>2032</v>
      </c>
      <c r="D278" s="66" t="s">
        <v>2458</v>
      </c>
    </row>
    <row r="279" spans="1:14" ht="30" hidden="1" outlineLevel="1" x14ac:dyDescent="0.25">
      <c r="A279" s="42" t="s">
        <v>2029</v>
      </c>
      <c r="B279" s="64" t="s">
        <v>2033</v>
      </c>
      <c r="C279" s="64" t="s">
        <v>2034</v>
      </c>
      <c r="D279" s="66" t="s">
        <v>2458</v>
      </c>
    </row>
    <row r="280" spans="1:14" collapsed="1" x14ac:dyDescent="0.25">
      <c r="A280" s="209" t="s">
        <v>2337</v>
      </c>
      <c r="B280" s="209"/>
      <c r="C280" s="209"/>
      <c r="D280" s="209"/>
      <c r="F280" s="56"/>
      <c r="G280" s="56"/>
      <c r="H280" s="56"/>
      <c r="I280" s="56"/>
      <c r="J280" s="56"/>
      <c r="K280" s="56"/>
      <c r="L280" s="56"/>
      <c r="M280" s="56"/>
      <c r="N280" s="56"/>
    </row>
    <row r="281" spans="1:14" x14ac:dyDescent="0.25">
      <c r="A281" s="208" t="s">
        <v>2349</v>
      </c>
      <c r="B281" s="208"/>
      <c r="C281" s="208"/>
      <c r="D281" s="208"/>
      <c r="F281" s="56"/>
      <c r="G281" s="56"/>
      <c r="H281" s="56"/>
      <c r="I281" s="56"/>
      <c r="J281" s="56"/>
      <c r="K281" s="56"/>
      <c r="L281" s="56"/>
      <c r="M281" s="56"/>
      <c r="N281" s="56"/>
    </row>
    <row r="282" spans="1:14" ht="30" hidden="1" outlineLevel="1" x14ac:dyDescent="0.25">
      <c r="A282" s="42" t="s">
        <v>2373</v>
      </c>
      <c r="B282" s="64" t="s">
        <v>2289</v>
      </c>
      <c r="C282" s="64" t="s">
        <v>2293</v>
      </c>
      <c r="D282" s="66" t="s">
        <v>2458</v>
      </c>
    </row>
    <row r="283" spans="1:14" ht="30" hidden="1" outlineLevel="1" x14ac:dyDescent="0.25">
      <c r="A283" s="42" t="s">
        <v>2374</v>
      </c>
      <c r="B283" s="64" t="s">
        <v>2294</v>
      </c>
      <c r="C283" s="64" t="s">
        <v>2295</v>
      </c>
      <c r="D283" s="66" t="s">
        <v>2458</v>
      </c>
    </row>
    <row r="284" spans="1:14" ht="45" hidden="1" outlineLevel="1" x14ac:dyDescent="0.25">
      <c r="A284" s="42" t="s">
        <v>2375</v>
      </c>
      <c r="B284" s="64" t="s">
        <v>2296</v>
      </c>
      <c r="C284" s="64" t="s">
        <v>2297</v>
      </c>
      <c r="D284" s="66" t="s">
        <v>2458</v>
      </c>
    </row>
    <row r="285" spans="1:14" collapsed="1" x14ac:dyDescent="0.25">
      <c r="A285" s="208" t="s">
        <v>2338</v>
      </c>
      <c r="B285" s="208"/>
      <c r="C285" s="208"/>
      <c r="D285" s="208"/>
      <c r="E285" s="69" t="s">
        <v>48</v>
      </c>
      <c r="F285" s="56"/>
      <c r="G285" s="56"/>
      <c r="H285" s="56"/>
      <c r="I285" s="56"/>
      <c r="J285" s="56"/>
      <c r="K285" s="56"/>
      <c r="L285" s="56"/>
      <c r="M285" s="56"/>
      <c r="N285" s="56"/>
    </row>
    <row r="286" spans="1:14" ht="14.25" customHeight="1" x14ac:dyDescent="0.25">
      <c r="A286" s="203" t="s">
        <v>2339</v>
      </c>
      <c r="B286" s="203"/>
      <c r="C286" s="203"/>
      <c r="D286" s="203"/>
      <c r="E286" s="70" t="s">
        <v>2376</v>
      </c>
      <c r="F286" s="56"/>
      <c r="G286" s="56"/>
      <c r="H286" s="56"/>
      <c r="I286" s="56"/>
      <c r="J286" s="56"/>
      <c r="K286" s="56"/>
      <c r="L286" s="56"/>
      <c r="M286" s="56"/>
      <c r="N286" s="56"/>
    </row>
    <row r="287" spans="1:14" x14ac:dyDescent="0.25">
      <c r="A287" s="207" t="s">
        <v>2340</v>
      </c>
      <c r="B287" s="207"/>
      <c r="C287" s="207"/>
      <c r="D287" s="207"/>
      <c r="E287" s="70" t="s">
        <v>2377</v>
      </c>
    </row>
    <row r="288" spans="1:14" hidden="1" outlineLevel="1" x14ac:dyDescent="0.25">
      <c r="A288" s="42" t="s">
        <v>2144</v>
      </c>
      <c r="B288" s="64" t="s">
        <v>2086</v>
      </c>
      <c r="C288" s="64" t="s">
        <v>2087</v>
      </c>
      <c r="D288" s="66" t="s">
        <v>120</v>
      </c>
      <c r="E288" s="7"/>
    </row>
    <row r="289" spans="1:14" hidden="1" outlineLevel="1" x14ac:dyDescent="0.25">
      <c r="A289" s="42" t="s">
        <v>2146</v>
      </c>
      <c r="B289" s="64" t="s">
        <v>2088</v>
      </c>
      <c r="C289" s="64" t="s">
        <v>2089</v>
      </c>
      <c r="D289" s="66" t="s">
        <v>120</v>
      </c>
    </row>
    <row r="290" spans="1:14" ht="30" hidden="1" outlineLevel="1" x14ac:dyDescent="0.25">
      <c r="A290" s="42" t="s">
        <v>2147</v>
      </c>
      <c r="B290" s="64" t="s">
        <v>2090</v>
      </c>
      <c r="C290" s="64" t="s">
        <v>2091</v>
      </c>
      <c r="D290" s="66" t="s">
        <v>120</v>
      </c>
    </row>
    <row r="291" spans="1:14" hidden="1" outlineLevel="1" x14ac:dyDescent="0.25">
      <c r="A291" s="42" t="s">
        <v>2148</v>
      </c>
      <c r="B291" s="64"/>
      <c r="C291" s="64"/>
      <c r="D291" s="66" t="s">
        <v>120</v>
      </c>
    </row>
    <row r="292" spans="1:14" ht="45" hidden="1" outlineLevel="1" x14ac:dyDescent="0.25">
      <c r="A292" s="42" t="s">
        <v>2156</v>
      </c>
      <c r="B292" s="64" t="s">
        <v>2092</v>
      </c>
      <c r="C292" s="64" t="s">
        <v>2093</v>
      </c>
      <c r="D292" s="66" t="s">
        <v>120</v>
      </c>
      <c r="E292" s="70" t="s">
        <v>2378</v>
      </c>
    </row>
    <row r="293" spans="1:14" ht="30" hidden="1" outlineLevel="1" x14ac:dyDescent="0.25">
      <c r="A293" s="42" t="s">
        <v>2157</v>
      </c>
      <c r="B293" s="64" t="s">
        <v>2094</v>
      </c>
      <c r="C293" s="64" t="s">
        <v>2095</v>
      </c>
      <c r="D293" s="66" t="s">
        <v>120</v>
      </c>
      <c r="E293" s="70" t="s">
        <v>2378</v>
      </c>
    </row>
    <row r="294" spans="1:14" ht="14.25" hidden="1" customHeight="1" outlineLevel="1" x14ac:dyDescent="0.25">
      <c r="A294" s="42" t="s">
        <v>2158</v>
      </c>
      <c r="B294" s="64" t="s">
        <v>2096</v>
      </c>
      <c r="C294" s="64" t="s">
        <v>2097</v>
      </c>
      <c r="D294" s="66" t="s">
        <v>120</v>
      </c>
      <c r="E294" s="70" t="s">
        <v>2378</v>
      </c>
      <c r="F294" s="56"/>
      <c r="G294" s="56"/>
      <c r="H294" s="56"/>
      <c r="I294" s="56"/>
      <c r="J294" s="56"/>
      <c r="K294" s="56"/>
      <c r="L294" s="56"/>
      <c r="M294" s="56"/>
      <c r="N294" s="56"/>
    </row>
    <row r="295" spans="1:14" ht="14.25" customHeight="1" collapsed="1" x14ac:dyDescent="0.25">
      <c r="A295" s="207" t="s">
        <v>2341</v>
      </c>
      <c r="B295" s="207"/>
      <c r="C295" s="207"/>
      <c r="D295" s="207"/>
    </row>
    <row r="296" spans="1:14" ht="45" hidden="1" outlineLevel="1" x14ac:dyDescent="0.25">
      <c r="A296" s="42" t="s">
        <v>2379</v>
      </c>
      <c r="B296" s="64" t="s">
        <v>2098</v>
      </c>
      <c r="C296" s="64" t="s">
        <v>2103</v>
      </c>
      <c r="D296" s="66" t="s">
        <v>120</v>
      </c>
    </row>
    <row r="297" spans="1:14" ht="45" hidden="1" outlineLevel="1" x14ac:dyDescent="0.25">
      <c r="A297" s="42" t="s">
        <v>2380</v>
      </c>
      <c r="B297" s="64" t="s">
        <v>2104</v>
      </c>
      <c r="C297" s="64" t="s">
        <v>2103</v>
      </c>
      <c r="D297" s="66" t="s">
        <v>120</v>
      </c>
    </row>
    <row r="298" spans="1:14" ht="30" hidden="1" outlineLevel="1" x14ac:dyDescent="0.25">
      <c r="A298" s="42" t="s">
        <v>2381</v>
      </c>
      <c r="B298" s="64" t="s">
        <v>2105</v>
      </c>
      <c r="C298" s="64" t="s">
        <v>2108</v>
      </c>
      <c r="D298" s="66" t="s">
        <v>120</v>
      </c>
    </row>
    <row r="299" spans="1:14" ht="45" hidden="1" outlineLevel="1" x14ac:dyDescent="0.25">
      <c r="A299" s="42" t="s">
        <v>2382</v>
      </c>
      <c r="B299" s="64" t="s">
        <v>2106</v>
      </c>
      <c r="C299" s="64" t="s">
        <v>2107</v>
      </c>
      <c r="D299" s="66" t="s">
        <v>120</v>
      </c>
    </row>
    <row r="300" spans="1:14" collapsed="1" x14ac:dyDescent="0.25">
      <c r="A300" s="203" t="s">
        <v>2342</v>
      </c>
      <c r="B300" s="203"/>
      <c r="C300" s="203"/>
      <c r="D300" s="203"/>
      <c r="F300" s="56"/>
      <c r="G300" s="56"/>
      <c r="H300" s="56"/>
      <c r="I300" s="56"/>
      <c r="J300" s="56"/>
      <c r="K300" s="56"/>
      <c r="L300" s="56"/>
      <c r="M300" s="56"/>
      <c r="N300" s="56"/>
    </row>
    <row r="301" spans="1:14" ht="30" hidden="1" outlineLevel="1" x14ac:dyDescent="0.25">
      <c r="A301" s="42" t="s">
        <v>2165</v>
      </c>
      <c r="B301" s="64" t="s">
        <v>2109</v>
      </c>
      <c r="C301" s="64" t="s">
        <v>2111</v>
      </c>
      <c r="D301" s="66" t="s">
        <v>120</v>
      </c>
    </row>
    <row r="302" spans="1:14" hidden="1" outlineLevel="1" x14ac:dyDescent="0.25">
      <c r="A302" s="42" t="s">
        <v>2166</v>
      </c>
      <c r="B302" s="64" t="s">
        <v>2112</v>
      </c>
      <c r="C302" s="64" t="s">
        <v>2123</v>
      </c>
      <c r="D302" s="66" t="s">
        <v>120</v>
      </c>
    </row>
    <row r="303" spans="1:14" ht="45" hidden="1" outlineLevel="1" x14ac:dyDescent="0.25">
      <c r="A303" s="42" t="s">
        <v>2167</v>
      </c>
      <c r="B303" s="64" t="s">
        <v>2124</v>
      </c>
      <c r="C303" s="64" t="s">
        <v>2125</v>
      </c>
      <c r="D303" s="66" t="s">
        <v>120</v>
      </c>
    </row>
    <row r="304" spans="1:14" hidden="1" outlineLevel="1" x14ac:dyDescent="0.25">
      <c r="A304" s="42" t="s">
        <v>2168</v>
      </c>
      <c r="B304" s="64" t="s">
        <v>2126</v>
      </c>
      <c r="C304" s="64" t="s">
        <v>2089</v>
      </c>
      <c r="D304" s="66" t="s">
        <v>120</v>
      </c>
    </row>
    <row r="305" spans="1:14" ht="30" hidden="1" outlineLevel="1" x14ac:dyDescent="0.25">
      <c r="A305" s="42" t="s">
        <v>2169</v>
      </c>
      <c r="B305" s="64" t="s">
        <v>2127</v>
      </c>
      <c r="C305" s="64" t="s">
        <v>2128</v>
      </c>
      <c r="D305" s="66" t="s">
        <v>120</v>
      </c>
    </row>
    <row r="306" spans="1:14" ht="30" hidden="1" outlineLevel="1" x14ac:dyDescent="0.25">
      <c r="A306" s="42" t="s">
        <v>2170</v>
      </c>
      <c r="B306" s="64" t="s">
        <v>2129</v>
      </c>
      <c r="C306" s="64" t="s">
        <v>2130</v>
      </c>
      <c r="D306" s="66" t="s">
        <v>120</v>
      </c>
    </row>
    <row r="307" spans="1:14" hidden="1" outlineLevel="1" x14ac:dyDescent="0.25">
      <c r="A307" s="42" t="s">
        <v>2171</v>
      </c>
      <c r="B307" s="64" t="s">
        <v>2131</v>
      </c>
      <c r="C307" s="64" t="s">
        <v>2132</v>
      </c>
      <c r="D307" s="66" t="s">
        <v>120</v>
      </c>
    </row>
    <row r="308" spans="1:14" ht="30" hidden="1" outlineLevel="1" x14ac:dyDescent="0.25">
      <c r="A308" s="42" t="s">
        <v>2172</v>
      </c>
      <c r="B308" s="64" t="s">
        <v>2133</v>
      </c>
      <c r="C308" s="64" t="s">
        <v>2091</v>
      </c>
      <c r="D308" s="66" t="s">
        <v>120</v>
      </c>
    </row>
    <row r="309" spans="1:14" collapsed="1" x14ac:dyDescent="0.25">
      <c r="A309" s="203" t="s">
        <v>2343</v>
      </c>
      <c r="B309" s="203"/>
      <c r="C309" s="203"/>
      <c r="D309" s="203"/>
      <c r="F309" s="56"/>
      <c r="G309" s="56"/>
      <c r="H309" s="56"/>
      <c r="I309" s="56"/>
      <c r="J309" s="56"/>
      <c r="K309" s="56"/>
      <c r="L309" s="56"/>
      <c r="M309" s="56"/>
      <c r="N309" s="56"/>
    </row>
    <row r="310" spans="1:14" ht="30" hidden="1" outlineLevel="1" x14ac:dyDescent="0.25">
      <c r="A310" s="42" t="s">
        <v>2267</v>
      </c>
      <c r="B310" s="64" t="s">
        <v>2140</v>
      </c>
      <c r="C310" s="64" t="s">
        <v>2142</v>
      </c>
      <c r="D310" s="66" t="s">
        <v>2458</v>
      </c>
    </row>
    <row r="311" spans="1:14" collapsed="1" x14ac:dyDescent="0.25">
      <c r="A311" s="208" t="s">
        <v>2344</v>
      </c>
      <c r="B311" s="208"/>
      <c r="C311" s="208"/>
      <c r="D311" s="208"/>
      <c r="F311" s="56"/>
      <c r="G311" s="56"/>
      <c r="H311" s="56"/>
      <c r="I311" s="56"/>
      <c r="J311" s="56"/>
      <c r="K311" s="56"/>
      <c r="L311" s="56"/>
      <c r="M311" s="56"/>
      <c r="N311" s="56"/>
    </row>
    <row r="312" spans="1:14" x14ac:dyDescent="0.25">
      <c r="A312" s="203" t="s">
        <v>2345</v>
      </c>
      <c r="B312" s="203"/>
      <c r="C312" s="203"/>
      <c r="D312" s="203"/>
      <c r="F312" s="56"/>
      <c r="G312" s="56"/>
      <c r="H312" s="56"/>
      <c r="I312" s="56"/>
      <c r="J312" s="56"/>
      <c r="K312" s="56"/>
      <c r="L312" s="56"/>
      <c r="M312" s="56"/>
      <c r="N312" s="56"/>
    </row>
    <row r="313" spans="1:14" ht="30" hidden="1" outlineLevel="1" x14ac:dyDescent="0.25">
      <c r="A313" s="42" t="s">
        <v>2383</v>
      </c>
      <c r="B313" s="64" t="s">
        <v>2143</v>
      </c>
      <c r="C313" s="64" t="s">
        <v>2145</v>
      </c>
      <c r="D313" s="66" t="s">
        <v>120</v>
      </c>
    </row>
    <row r="314" spans="1:14" hidden="1" outlineLevel="1" x14ac:dyDescent="0.25">
      <c r="A314" s="42" t="s">
        <v>2384</v>
      </c>
      <c r="B314" s="64" t="s">
        <v>2150</v>
      </c>
      <c r="C314" s="64" t="s">
        <v>2151</v>
      </c>
      <c r="D314" s="66" t="s">
        <v>120</v>
      </c>
    </row>
    <row r="315" spans="1:14" ht="30" hidden="1" outlineLevel="1" x14ac:dyDescent="0.25">
      <c r="A315" s="42" t="s">
        <v>2385</v>
      </c>
      <c r="B315" s="64" t="s">
        <v>2152</v>
      </c>
      <c r="C315" s="64" t="s">
        <v>2153</v>
      </c>
      <c r="D315" s="66" t="s">
        <v>120</v>
      </c>
    </row>
    <row r="316" spans="1:14" ht="30" hidden="1" outlineLevel="1" x14ac:dyDescent="0.25">
      <c r="A316" s="42" t="s">
        <v>2386</v>
      </c>
      <c r="B316" s="64" t="s">
        <v>2149</v>
      </c>
      <c r="C316" s="64" t="s">
        <v>2145</v>
      </c>
      <c r="D316" s="66" t="s">
        <v>120</v>
      </c>
    </row>
    <row r="317" spans="1:14" collapsed="1" x14ac:dyDescent="0.25">
      <c r="A317" s="203" t="s">
        <v>2346</v>
      </c>
      <c r="B317" s="203"/>
      <c r="C317" s="203"/>
      <c r="D317" s="203"/>
      <c r="F317" s="56"/>
      <c r="G317" s="56"/>
      <c r="H317" s="56"/>
      <c r="I317" s="56"/>
      <c r="J317" s="56"/>
      <c r="K317" s="56"/>
      <c r="L317" s="56"/>
      <c r="M317" s="56"/>
      <c r="N317" s="56"/>
    </row>
    <row r="318" spans="1:14" hidden="1" outlineLevel="1" x14ac:dyDescent="0.25">
      <c r="A318" s="42" t="s">
        <v>2387</v>
      </c>
      <c r="B318" s="64" t="s">
        <v>2154</v>
      </c>
      <c r="C318" s="64" t="s">
        <v>2159</v>
      </c>
      <c r="D318" s="66" t="s">
        <v>120</v>
      </c>
    </row>
    <row r="319" spans="1:14" hidden="1" outlineLevel="1" x14ac:dyDescent="0.25">
      <c r="A319" s="42" t="s">
        <v>2388</v>
      </c>
      <c r="B319" s="64" t="s">
        <v>2160</v>
      </c>
      <c r="C319" s="64" t="s">
        <v>2161</v>
      </c>
      <c r="D319" s="66" t="s">
        <v>120</v>
      </c>
    </row>
    <row r="320" spans="1:14" hidden="1" outlineLevel="1" x14ac:dyDescent="0.25">
      <c r="A320" s="42" t="s">
        <v>2389</v>
      </c>
      <c r="B320" s="64" t="s">
        <v>2162</v>
      </c>
      <c r="C320" s="64" t="s">
        <v>2163</v>
      </c>
      <c r="D320" s="66" t="s">
        <v>120</v>
      </c>
    </row>
    <row r="321" spans="1:14" hidden="1" outlineLevel="1" x14ac:dyDescent="0.25">
      <c r="A321" s="42" t="s">
        <v>2390</v>
      </c>
      <c r="B321" s="64" t="s">
        <v>2164</v>
      </c>
      <c r="C321" s="64" t="s">
        <v>2163</v>
      </c>
      <c r="D321" s="66" t="s">
        <v>120</v>
      </c>
    </row>
    <row r="322" spans="1:14" collapsed="1" x14ac:dyDescent="0.25">
      <c r="A322" s="203" t="s">
        <v>2347</v>
      </c>
      <c r="B322" s="203"/>
      <c r="C322" s="203"/>
      <c r="D322" s="203"/>
      <c r="F322" s="56"/>
      <c r="G322" s="56"/>
      <c r="H322" s="56"/>
      <c r="I322" s="56"/>
      <c r="J322" s="56"/>
      <c r="K322" s="56"/>
      <c r="L322" s="56"/>
      <c r="M322" s="56"/>
      <c r="N322" s="56"/>
    </row>
    <row r="323" spans="1:14" ht="30" hidden="1" outlineLevel="1" x14ac:dyDescent="0.25">
      <c r="A323" s="42" t="s">
        <v>2391</v>
      </c>
      <c r="B323" s="64" t="s">
        <v>2202</v>
      </c>
      <c r="C323" s="64" t="s">
        <v>2203</v>
      </c>
      <c r="D323" s="66" t="s">
        <v>120</v>
      </c>
    </row>
    <row r="324" spans="1:14" hidden="1" outlineLevel="1" x14ac:dyDescent="0.25">
      <c r="A324" s="42" t="s">
        <v>2392</v>
      </c>
      <c r="B324" s="64" t="s">
        <v>2204</v>
      </c>
      <c r="C324" s="64" t="s">
        <v>2205</v>
      </c>
      <c r="D324" s="66" t="s">
        <v>120</v>
      </c>
    </row>
    <row r="325" spans="1:14" hidden="1" outlineLevel="1" x14ac:dyDescent="0.25">
      <c r="A325" s="42" t="s">
        <v>2393</v>
      </c>
      <c r="B325" s="64" t="s">
        <v>2206</v>
      </c>
      <c r="C325" s="64" t="s">
        <v>2207</v>
      </c>
      <c r="D325" s="66" t="s">
        <v>120</v>
      </c>
    </row>
    <row r="326" spans="1:14" hidden="1" outlineLevel="1" x14ac:dyDescent="0.25">
      <c r="A326" s="42" t="s">
        <v>2394</v>
      </c>
      <c r="B326" s="64" t="s">
        <v>2208</v>
      </c>
      <c r="C326" s="64" t="s">
        <v>2209</v>
      </c>
      <c r="D326" s="66" t="s">
        <v>120</v>
      </c>
    </row>
    <row r="327" spans="1:14" ht="30" hidden="1" outlineLevel="1" x14ac:dyDescent="0.25">
      <c r="A327" s="42" t="s">
        <v>2395</v>
      </c>
      <c r="B327" s="64" t="s">
        <v>2210</v>
      </c>
      <c r="C327" s="64" t="s">
        <v>2211</v>
      </c>
      <c r="D327" s="66" t="s">
        <v>120</v>
      </c>
    </row>
    <row r="328" spans="1:14" ht="30" hidden="1" outlineLevel="1" x14ac:dyDescent="0.25">
      <c r="A328" s="42" t="s">
        <v>2396</v>
      </c>
      <c r="B328" s="64" t="s">
        <v>2212</v>
      </c>
      <c r="C328" s="64" t="s">
        <v>2213</v>
      </c>
      <c r="D328" s="66" t="s">
        <v>120</v>
      </c>
    </row>
    <row r="329" spans="1:14" ht="30" hidden="1" outlineLevel="1" x14ac:dyDescent="0.25">
      <c r="A329" s="42" t="s">
        <v>2397</v>
      </c>
      <c r="B329" s="64" t="s">
        <v>2214</v>
      </c>
      <c r="C329" s="64" t="s">
        <v>2215</v>
      </c>
      <c r="D329" s="66" t="s">
        <v>120</v>
      </c>
    </row>
    <row r="330" spans="1:14" ht="30" hidden="1" outlineLevel="1" x14ac:dyDescent="0.25">
      <c r="A330" s="42" t="s">
        <v>2398</v>
      </c>
      <c r="B330" s="64" t="s">
        <v>2216</v>
      </c>
      <c r="C330" s="64" t="s">
        <v>2217</v>
      </c>
      <c r="D330" s="66" t="s">
        <v>120</v>
      </c>
    </row>
    <row r="331" spans="1:14" hidden="1" outlineLevel="1" x14ac:dyDescent="0.25">
      <c r="A331" s="42" t="s">
        <v>2399</v>
      </c>
      <c r="B331" s="64" t="s">
        <v>2218</v>
      </c>
      <c r="C331" s="64" t="s">
        <v>2219</v>
      </c>
      <c r="D331" s="66" t="s">
        <v>120</v>
      </c>
    </row>
    <row r="332" spans="1:14" ht="30" hidden="1" outlineLevel="1" x14ac:dyDescent="0.25">
      <c r="A332" s="42" t="s">
        <v>2400</v>
      </c>
      <c r="B332" s="64" t="s">
        <v>2220</v>
      </c>
      <c r="C332" s="64" t="s">
        <v>2221</v>
      </c>
      <c r="D332" s="66" t="s">
        <v>120</v>
      </c>
    </row>
    <row r="333" spans="1:14" ht="30" hidden="1" outlineLevel="1" x14ac:dyDescent="0.25">
      <c r="A333" s="42" t="s">
        <v>2401</v>
      </c>
      <c r="B333" s="64" t="s">
        <v>2222</v>
      </c>
      <c r="C333" s="64" t="s">
        <v>2223</v>
      </c>
      <c r="D333" s="66" t="s">
        <v>120</v>
      </c>
    </row>
    <row r="334" spans="1:14" ht="30" hidden="1" outlineLevel="1" x14ac:dyDescent="0.25">
      <c r="A334" s="42" t="s">
        <v>2402</v>
      </c>
      <c r="B334" s="64" t="s">
        <v>2224</v>
      </c>
      <c r="C334" s="64" t="s">
        <v>2225</v>
      </c>
      <c r="D334" s="66" t="s">
        <v>120</v>
      </c>
    </row>
    <row r="335" spans="1:14" ht="30" hidden="1" outlineLevel="1" x14ac:dyDescent="0.25">
      <c r="A335" s="42" t="s">
        <v>2403</v>
      </c>
      <c r="B335" s="64" t="s">
        <v>2226</v>
      </c>
      <c r="C335" s="64" t="s">
        <v>2225</v>
      </c>
      <c r="D335" s="66" t="s">
        <v>120</v>
      </c>
    </row>
    <row r="336" spans="1:14" ht="30" hidden="1" outlineLevel="1" x14ac:dyDescent="0.25">
      <c r="A336" s="42" t="s">
        <v>2404</v>
      </c>
      <c r="B336" s="64" t="s">
        <v>2227</v>
      </c>
      <c r="C336" s="64" t="s">
        <v>2225</v>
      </c>
      <c r="D336" s="66" t="s">
        <v>120</v>
      </c>
    </row>
    <row r="337" spans="1:4" ht="30" hidden="1" outlineLevel="1" x14ac:dyDescent="0.25">
      <c r="A337" s="42" t="s">
        <v>2405</v>
      </c>
      <c r="B337" s="64" t="s">
        <v>2228</v>
      </c>
      <c r="C337" s="64" t="s">
        <v>2225</v>
      </c>
      <c r="D337" s="66" t="s">
        <v>120</v>
      </c>
    </row>
    <row r="338" spans="1:4" ht="30" hidden="1" outlineLevel="1" x14ac:dyDescent="0.25">
      <c r="A338" s="42" t="s">
        <v>2406</v>
      </c>
      <c r="B338" s="64" t="s">
        <v>2229</v>
      </c>
      <c r="C338" s="64" t="s">
        <v>2225</v>
      </c>
      <c r="D338" s="66" t="s">
        <v>120</v>
      </c>
    </row>
    <row r="339" spans="1:4" ht="30" hidden="1" outlineLevel="1" x14ac:dyDescent="0.25">
      <c r="A339" s="42" t="s">
        <v>2407</v>
      </c>
      <c r="B339" s="64" t="s">
        <v>2230</v>
      </c>
      <c r="C339" s="64" t="s">
        <v>2225</v>
      </c>
      <c r="D339" s="66" t="s">
        <v>120</v>
      </c>
    </row>
    <row r="340" spans="1:4" ht="30" hidden="1" outlineLevel="1" x14ac:dyDescent="0.25">
      <c r="A340" s="42" t="s">
        <v>2408</v>
      </c>
      <c r="B340" s="64" t="s">
        <v>2231</v>
      </c>
      <c r="C340" s="64" t="s">
        <v>2232</v>
      </c>
      <c r="D340" s="66" t="s">
        <v>120</v>
      </c>
    </row>
    <row r="341" spans="1:4" ht="30" hidden="1" outlineLevel="1" x14ac:dyDescent="0.25">
      <c r="A341" s="42" t="s">
        <v>2409</v>
      </c>
      <c r="B341" s="64" t="s">
        <v>2233</v>
      </c>
      <c r="C341" s="64" t="s">
        <v>2232</v>
      </c>
      <c r="D341" s="66" t="s">
        <v>120</v>
      </c>
    </row>
    <row r="342" spans="1:4" ht="30" hidden="1" outlineLevel="1" x14ac:dyDescent="0.25">
      <c r="A342" s="42" t="s">
        <v>2410</v>
      </c>
      <c r="B342" s="64" t="s">
        <v>2234</v>
      </c>
      <c r="C342" s="64" t="s">
        <v>2232</v>
      </c>
      <c r="D342" s="66" t="s">
        <v>120</v>
      </c>
    </row>
    <row r="343" spans="1:4" hidden="1" outlineLevel="1" x14ac:dyDescent="0.25">
      <c r="A343" s="42" t="s">
        <v>2411</v>
      </c>
      <c r="B343" s="64" t="s">
        <v>2235</v>
      </c>
      <c r="C343" s="64" t="s">
        <v>2247</v>
      </c>
      <c r="D343" s="66" t="s">
        <v>120</v>
      </c>
    </row>
    <row r="344" spans="1:4" ht="30" hidden="1" outlineLevel="1" x14ac:dyDescent="0.25">
      <c r="A344" s="42" t="s">
        <v>2412</v>
      </c>
      <c r="B344" s="64" t="s">
        <v>2236</v>
      </c>
      <c r="C344" s="64" t="s">
        <v>2237</v>
      </c>
      <c r="D344" s="66" t="s">
        <v>120</v>
      </c>
    </row>
    <row r="345" spans="1:4" ht="30" hidden="1" outlineLevel="1" x14ac:dyDescent="0.25">
      <c r="A345" s="42" t="s">
        <v>2413</v>
      </c>
      <c r="B345" s="64" t="s">
        <v>2238</v>
      </c>
      <c r="C345" s="64" t="s">
        <v>2239</v>
      </c>
      <c r="D345" s="66" t="s">
        <v>120</v>
      </c>
    </row>
    <row r="346" spans="1:4" ht="30" hidden="1" outlineLevel="1" x14ac:dyDescent="0.25">
      <c r="A346" s="42" t="s">
        <v>2414</v>
      </c>
      <c r="B346" s="64" t="s">
        <v>2240</v>
      </c>
      <c r="C346" s="64" t="s">
        <v>2241</v>
      </c>
      <c r="D346" s="66" t="s">
        <v>120</v>
      </c>
    </row>
    <row r="347" spans="1:4" ht="30" hidden="1" outlineLevel="1" x14ac:dyDescent="0.25">
      <c r="A347" s="42" t="s">
        <v>2415</v>
      </c>
      <c r="B347" s="64" t="s">
        <v>2242</v>
      </c>
      <c r="C347" s="64" t="s">
        <v>2241</v>
      </c>
      <c r="D347" s="66" t="s">
        <v>120</v>
      </c>
    </row>
    <row r="348" spans="1:4" ht="30" hidden="1" outlineLevel="1" x14ac:dyDescent="0.25">
      <c r="A348" s="42" t="s">
        <v>2416</v>
      </c>
      <c r="B348" s="64" t="s">
        <v>2243</v>
      </c>
      <c r="C348" s="64" t="s">
        <v>2244</v>
      </c>
      <c r="D348" s="66" t="s">
        <v>120</v>
      </c>
    </row>
    <row r="349" spans="1:4" hidden="1" outlineLevel="1" x14ac:dyDescent="0.25">
      <c r="A349" s="42" t="s">
        <v>2417</v>
      </c>
      <c r="B349" s="64" t="s">
        <v>2245</v>
      </c>
      <c r="C349" s="64" t="s">
        <v>2246</v>
      </c>
      <c r="D349" s="66" t="s">
        <v>120</v>
      </c>
    </row>
    <row r="350" spans="1:4" hidden="1" outlineLevel="1" x14ac:dyDescent="0.25">
      <c r="A350" s="42" t="s">
        <v>2418</v>
      </c>
      <c r="B350" s="64" t="s">
        <v>2248</v>
      </c>
      <c r="C350" s="64" t="s">
        <v>2249</v>
      </c>
      <c r="D350" s="66" t="s">
        <v>120</v>
      </c>
    </row>
    <row r="351" spans="1:4" ht="30" hidden="1" outlineLevel="1" x14ac:dyDescent="0.25">
      <c r="A351" s="42" t="s">
        <v>2419</v>
      </c>
      <c r="B351" s="64" t="s">
        <v>2251</v>
      </c>
      <c r="C351" s="64" t="s">
        <v>2250</v>
      </c>
      <c r="D351" s="66" t="s">
        <v>120</v>
      </c>
    </row>
    <row r="352" spans="1:4" hidden="1" outlineLevel="1" x14ac:dyDescent="0.25">
      <c r="A352" s="42" t="s">
        <v>2420</v>
      </c>
      <c r="B352" s="64" t="s">
        <v>2252</v>
      </c>
      <c r="C352" s="64" t="s">
        <v>2253</v>
      </c>
      <c r="D352" s="66" t="s">
        <v>120</v>
      </c>
    </row>
    <row r="353" spans="1:14" ht="30" hidden="1" outlineLevel="1" x14ac:dyDescent="0.25">
      <c r="A353" s="42" t="s">
        <v>2421</v>
      </c>
      <c r="B353" s="64" t="s">
        <v>2254</v>
      </c>
      <c r="C353" s="64" t="s">
        <v>2255</v>
      </c>
      <c r="D353" s="66" t="s">
        <v>120</v>
      </c>
    </row>
    <row r="354" spans="1:14" ht="30" hidden="1" outlineLevel="1" x14ac:dyDescent="0.25">
      <c r="A354" s="42" t="s">
        <v>2422</v>
      </c>
      <c r="B354" s="64" t="s">
        <v>2256</v>
      </c>
      <c r="C354" s="64" t="s">
        <v>2255</v>
      </c>
      <c r="D354" s="66" t="s">
        <v>120</v>
      </c>
    </row>
    <row r="355" spans="1:14" ht="30" hidden="1" outlineLevel="1" x14ac:dyDescent="0.25">
      <c r="A355" s="42" t="s">
        <v>2423</v>
      </c>
      <c r="B355" s="64" t="s">
        <v>2257</v>
      </c>
      <c r="C355" s="64" t="s">
        <v>2255</v>
      </c>
      <c r="D355" s="66" t="s">
        <v>120</v>
      </c>
    </row>
    <row r="356" spans="1:14" ht="30" hidden="1" outlineLevel="1" x14ac:dyDescent="0.25">
      <c r="A356" s="42" t="s">
        <v>2424</v>
      </c>
      <c r="B356" s="64" t="s">
        <v>2258</v>
      </c>
      <c r="C356" s="64" t="s">
        <v>2255</v>
      </c>
      <c r="D356" s="66" t="s">
        <v>120</v>
      </c>
    </row>
    <row r="357" spans="1:14" ht="30" hidden="1" outlineLevel="1" x14ac:dyDescent="0.25">
      <c r="A357" s="42" t="s">
        <v>2425</v>
      </c>
      <c r="B357" s="64" t="s">
        <v>2259</v>
      </c>
      <c r="C357" s="64" t="s">
        <v>2260</v>
      </c>
      <c r="D357" s="66" t="s">
        <v>120</v>
      </c>
    </row>
    <row r="358" spans="1:14" ht="30" hidden="1" outlineLevel="1" x14ac:dyDescent="0.25">
      <c r="A358" s="42" t="s">
        <v>2426</v>
      </c>
      <c r="B358" s="64" t="s">
        <v>2261</v>
      </c>
      <c r="C358" s="64" t="s">
        <v>2262</v>
      </c>
      <c r="D358" s="66" t="s">
        <v>120</v>
      </c>
    </row>
    <row r="359" spans="1:14" ht="30" hidden="1" outlineLevel="1" x14ac:dyDescent="0.25">
      <c r="A359" s="42" t="s">
        <v>2427</v>
      </c>
      <c r="B359" s="64" t="s">
        <v>2263</v>
      </c>
      <c r="C359" s="64" t="s">
        <v>2264</v>
      </c>
      <c r="D359" s="66" t="s">
        <v>120</v>
      </c>
    </row>
    <row r="360" spans="1:14" collapsed="1" x14ac:dyDescent="0.25">
      <c r="A360" s="203" t="s">
        <v>2348</v>
      </c>
      <c r="B360" s="203"/>
      <c r="C360" s="203"/>
      <c r="D360" s="203"/>
      <c r="F360" s="56"/>
      <c r="G360" s="56"/>
      <c r="H360" s="56"/>
      <c r="I360" s="56"/>
      <c r="J360" s="56"/>
      <c r="K360" s="56"/>
      <c r="L360" s="56"/>
      <c r="M360" s="56"/>
      <c r="N360" s="56"/>
    </row>
    <row r="361" spans="1:14" ht="30" hidden="1" outlineLevel="1" x14ac:dyDescent="0.25">
      <c r="A361" s="42" t="s">
        <v>2428</v>
      </c>
      <c r="B361" s="64" t="s">
        <v>2279</v>
      </c>
      <c r="C361" s="64" t="s">
        <v>2280</v>
      </c>
      <c r="D361" s="66" t="s">
        <v>2458</v>
      </c>
    </row>
    <row r="362" spans="1:14" hidden="1" outlineLevel="1" x14ac:dyDescent="0.25">
      <c r="A362" s="42" t="s">
        <v>2429</v>
      </c>
      <c r="B362" s="64" t="s">
        <v>2265</v>
      </c>
      <c r="C362" s="64" t="s">
        <v>2266</v>
      </c>
      <c r="D362" s="66" t="s">
        <v>2458</v>
      </c>
    </row>
    <row r="363" spans="1:14" hidden="1" outlineLevel="1" x14ac:dyDescent="0.25">
      <c r="A363" s="42" t="s">
        <v>2430</v>
      </c>
      <c r="B363" s="64" t="s">
        <v>2277</v>
      </c>
      <c r="C363" s="64" t="s">
        <v>2266</v>
      </c>
      <c r="D363" s="66" t="s">
        <v>2458</v>
      </c>
    </row>
    <row r="364" spans="1:14" hidden="1" outlineLevel="1" x14ac:dyDescent="0.25">
      <c r="A364" s="42" t="s">
        <v>2431</v>
      </c>
      <c r="B364" s="64" t="s">
        <v>2278</v>
      </c>
      <c r="C364" s="64" t="s">
        <v>2266</v>
      </c>
      <c r="D364" s="66" t="s">
        <v>2458</v>
      </c>
    </row>
    <row r="365" spans="1:14" ht="60" hidden="1" outlineLevel="1" x14ac:dyDescent="0.25">
      <c r="A365" s="42" t="s">
        <v>2432</v>
      </c>
      <c r="B365" s="64" t="s">
        <v>2281</v>
      </c>
      <c r="C365" s="64" t="s">
        <v>2282</v>
      </c>
      <c r="D365" s="66" t="s">
        <v>2458</v>
      </c>
    </row>
    <row r="366" spans="1:14" ht="60" hidden="1" outlineLevel="1" x14ac:dyDescent="0.25">
      <c r="A366" s="42" t="s">
        <v>2433</v>
      </c>
      <c r="B366" s="64" t="s">
        <v>2283</v>
      </c>
      <c r="C366" s="64" t="s">
        <v>2282</v>
      </c>
      <c r="D366" s="66" t="s">
        <v>2458</v>
      </c>
    </row>
    <row r="367" spans="1:14" ht="60" hidden="1" outlineLevel="1" x14ac:dyDescent="0.25">
      <c r="A367" s="42" t="s">
        <v>2434</v>
      </c>
      <c r="B367" s="64" t="s">
        <v>2284</v>
      </c>
      <c r="C367" s="64" t="s">
        <v>2282</v>
      </c>
      <c r="D367" s="66" t="s">
        <v>2458</v>
      </c>
    </row>
    <row r="368" spans="1:14" ht="30" hidden="1" outlineLevel="1" x14ac:dyDescent="0.25">
      <c r="A368" s="42" t="s">
        <v>2435</v>
      </c>
      <c r="B368" s="64" t="s">
        <v>2285</v>
      </c>
      <c r="C368" s="64" t="s">
        <v>2286</v>
      </c>
      <c r="D368" s="66" t="s">
        <v>2458</v>
      </c>
    </row>
    <row r="369" spans="1:14" ht="30" hidden="1" outlineLevel="1" x14ac:dyDescent="0.25">
      <c r="A369" s="42" t="s">
        <v>2436</v>
      </c>
      <c r="B369" s="64" t="s">
        <v>2287</v>
      </c>
      <c r="C369" s="64" t="s">
        <v>2286</v>
      </c>
      <c r="D369" s="66" t="s">
        <v>2458</v>
      </c>
    </row>
    <row r="370" spans="1:14" ht="30" hidden="1" outlineLevel="1" x14ac:dyDescent="0.25">
      <c r="A370" s="42" t="s">
        <v>2437</v>
      </c>
      <c r="B370" s="64" t="s">
        <v>2288</v>
      </c>
      <c r="C370" s="64" t="s">
        <v>2286</v>
      </c>
      <c r="D370" s="66" t="s">
        <v>2458</v>
      </c>
    </row>
    <row r="371" spans="1:14" collapsed="1" x14ac:dyDescent="0.25">
      <c r="A371" s="209" t="s">
        <v>2350</v>
      </c>
      <c r="B371" s="209"/>
      <c r="C371" s="209"/>
      <c r="D371" s="209"/>
      <c r="F371" s="56"/>
      <c r="G371" s="56"/>
      <c r="H371" s="56"/>
      <c r="I371" s="56"/>
      <c r="J371" s="56"/>
      <c r="K371" s="56"/>
      <c r="L371" s="56"/>
      <c r="M371" s="56"/>
      <c r="N371" s="56"/>
    </row>
    <row r="372" spans="1:14" x14ac:dyDescent="0.25">
      <c r="A372" s="208" t="s">
        <v>2351</v>
      </c>
      <c r="B372" s="208"/>
      <c r="C372" s="208"/>
      <c r="D372" s="208"/>
      <c r="F372" s="56"/>
      <c r="G372" s="56"/>
      <c r="H372" s="56"/>
      <c r="I372" s="56"/>
      <c r="J372" s="56"/>
      <c r="K372" s="56"/>
      <c r="L372" s="56"/>
      <c r="M372" s="56"/>
      <c r="N372" s="56"/>
    </row>
    <row r="373" spans="1:14" ht="30" hidden="1" outlineLevel="1" x14ac:dyDescent="0.25">
      <c r="A373" s="42" t="s">
        <v>1828</v>
      </c>
      <c r="B373" s="64" t="s">
        <v>2035</v>
      </c>
      <c r="C373" s="64" t="s">
        <v>2036</v>
      </c>
      <c r="D373" s="66" t="s">
        <v>2458</v>
      </c>
    </row>
    <row r="374" spans="1:14" ht="30" hidden="1" outlineLevel="1" x14ac:dyDescent="0.25">
      <c r="A374" s="42" t="s">
        <v>1829</v>
      </c>
      <c r="B374" s="64" t="s">
        <v>2037</v>
      </c>
      <c r="C374" s="64" t="s">
        <v>2040</v>
      </c>
      <c r="D374" s="66" t="s">
        <v>2458</v>
      </c>
    </row>
    <row r="375" spans="1:14" ht="30" hidden="1" outlineLevel="1" x14ac:dyDescent="0.25">
      <c r="A375" s="42" t="s">
        <v>1830</v>
      </c>
      <c r="B375" s="64" t="s">
        <v>2038</v>
      </c>
      <c r="C375" s="64" t="s">
        <v>2039</v>
      </c>
      <c r="D375" s="66" t="s">
        <v>2458</v>
      </c>
    </row>
    <row r="376" spans="1:14" ht="30" hidden="1" outlineLevel="1" x14ac:dyDescent="0.25">
      <c r="A376" s="42" t="s">
        <v>1831</v>
      </c>
      <c r="B376" s="64" t="s">
        <v>2041</v>
      </c>
      <c r="C376" s="64" t="s">
        <v>2042</v>
      </c>
      <c r="D376" s="66" t="s">
        <v>2458</v>
      </c>
    </row>
    <row r="377" spans="1:14" ht="45" hidden="1" outlineLevel="1" x14ac:dyDescent="0.25">
      <c r="A377" s="42" t="s">
        <v>1832</v>
      </c>
      <c r="B377" s="64" t="s">
        <v>2043</v>
      </c>
      <c r="C377" s="64" t="s">
        <v>2044</v>
      </c>
      <c r="D377" s="66" t="s">
        <v>2458</v>
      </c>
    </row>
    <row r="378" spans="1:14" ht="30" hidden="1" outlineLevel="1" x14ac:dyDescent="0.25">
      <c r="A378" s="42" t="s">
        <v>1833</v>
      </c>
      <c r="B378" s="64" t="s">
        <v>2045</v>
      </c>
      <c r="C378" s="64" t="s">
        <v>2046</v>
      </c>
      <c r="D378" s="66" t="s">
        <v>2458</v>
      </c>
    </row>
    <row r="379" spans="1:14" ht="45" hidden="1" outlineLevel="1" x14ac:dyDescent="0.25">
      <c r="A379" s="42" t="s">
        <v>1834</v>
      </c>
      <c r="B379" s="64" t="s">
        <v>2047</v>
      </c>
      <c r="C379" s="64" t="s">
        <v>2048</v>
      </c>
      <c r="D379" s="66" t="s">
        <v>2458</v>
      </c>
    </row>
    <row r="380" spans="1:14" ht="30" hidden="1" outlineLevel="1" x14ac:dyDescent="0.25">
      <c r="A380" s="42" t="s">
        <v>1835</v>
      </c>
      <c r="B380" s="64" t="s">
        <v>2049</v>
      </c>
      <c r="C380" s="64" t="s">
        <v>2050</v>
      </c>
      <c r="D380" s="66" t="s">
        <v>2458</v>
      </c>
    </row>
    <row r="381" spans="1:14" ht="30" hidden="1" outlineLevel="1" x14ac:dyDescent="0.25">
      <c r="A381" s="42" t="s">
        <v>1836</v>
      </c>
      <c r="B381" s="64" t="s">
        <v>2051</v>
      </c>
      <c r="C381" s="64" t="s">
        <v>2052</v>
      </c>
      <c r="D381" s="66" t="s">
        <v>2458</v>
      </c>
    </row>
    <row r="382" spans="1:14" ht="30" hidden="1" outlineLevel="1" x14ac:dyDescent="0.25">
      <c r="A382" s="42" t="s">
        <v>1837</v>
      </c>
      <c r="B382" s="64" t="s">
        <v>2053</v>
      </c>
      <c r="C382" s="64" t="s">
        <v>2054</v>
      </c>
      <c r="D382" s="66" t="s">
        <v>2458</v>
      </c>
    </row>
    <row r="383" spans="1:14" ht="45" hidden="1" outlineLevel="1" x14ac:dyDescent="0.25">
      <c r="A383" s="42" t="s">
        <v>1838</v>
      </c>
      <c r="B383" s="64" t="s">
        <v>2055</v>
      </c>
      <c r="C383" s="64" t="s">
        <v>2056</v>
      </c>
      <c r="D383" s="66" t="s">
        <v>2458</v>
      </c>
    </row>
    <row r="384" spans="1:14" ht="30" hidden="1" outlineLevel="1" x14ac:dyDescent="0.25">
      <c r="A384" s="42" t="s">
        <v>1839</v>
      </c>
      <c r="B384" s="64" t="s">
        <v>2057</v>
      </c>
      <c r="C384" s="64" t="s">
        <v>2058</v>
      </c>
      <c r="D384" s="66" t="s">
        <v>2458</v>
      </c>
    </row>
    <row r="385" spans="1:14" ht="30" hidden="1" outlineLevel="1" x14ac:dyDescent="0.25">
      <c r="A385" s="42" t="s">
        <v>1840</v>
      </c>
      <c r="B385" s="64" t="s">
        <v>2059</v>
      </c>
      <c r="C385" s="64" t="s">
        <v>2060</v>
      </c>
      <c r="D385" s="66" t="s">
        <v>2458</v>
      </c>
    </row>
    <row r="386" spans="1:14" collapsed="1" x14ac:dyDescent="0.25">
      <c r="A386" s="208" t="s">
        <v>2352</v>
      </c>
      <c r="B386" s="208"/>
      <c r="C386" s="208"/>
      <c r="D386" s="208"/>
      <c r="F386" s="56"/>
      <c r="G386" s="56"/>
      <c r="H386" s="56"/>
      <c r="I386" s="56"/>
      <c r="J386" s="56"/>
      <c r="K386" s="56"/>
      <c r="L386" s="56"/>
      <c r="M386" s="56"/>
      <c r="N386" s="56"/>
    </row>
    <row r="387" spans="1:14" hidden="1" outlineLevel="1" x14ac:dyDescent="0.25">
      <c r="A387" s="42" t="s">
        <v>1841</v>
      </c>
      <c r="B387" s="64" t="s">
        <v>2061</v>
      </c>
      <c r="C387" s="64"/>
      <c r="D387" s="66" t="s">
        <v>2458</v>
      </c>
    </row>
    <row r="388" spans="1:14" hidden="1" outlineLevel="1" x14ac:dyDescent="0.25">
      <c r="A388" s="42" t="s">
        <v>1842</v>
      </c>
      <c r="B388" s="64" t="s">
        <v>2062</v>
      </c>
      <c r="C388" s="64" t="s">
        <v>2063</v>
      </c>
      <c r="D388" s="66" t="s">
        <v>2458</v>
      </c>
    </row>
    <row r="389" spans="1:14" ht="30" hidden="1" outlineLevel="1" x14ac:dyDescent="0.25">
      <c r="A389" s="42" t="s">
        <v>1843</v>
      </c>
      <c r="B389" s="64" t="s">
        <v>2064</v>
      </c>
      <c r="C389" s="64" t="s">
        <v>2065</v>
      </c>
      <c r="D389" s="66" t="s">
        <v>2458</v>
      </c>
    </row>
    <row r="390" spans="1:14" hidden="1" outlineLevel="1" x14ac:dyDescent="0.25">
      <c r="A390" s="42" t="s">
        <v>1844</v>
      </c>
      <c r="B390" s="64" t="s">
        <v>2068</v>
      </c>
      <c r="C390" s="64" t="s">
        <v>2069</v>
      </c>
      <c r="D390" s="66" t="s">
        <v>82</v>
      </c>
    </row>
    <row r="391" spans="1:14" hidden="1" outlineLevel="1" x14ac:dyDescent="0.25">
      <c r="A391" s="42" t="s">
        <v>1845</v>
      </c>
      <c r="B391" s="64" t="s">
        <v>2070</v>
      </c>
      <c r="C391" s="64" t="s">
        <v>2071</v>
      </c>
      <c r="D391" s="66" t="s">
        <v>2458</v>
      </c>
    </row>
    <row r="392" spans="1:14" ht="45" hidden="1" outlineLevel="1" x14ac:dyDescent="0.25">
      <c r="A392" s="42" t="s">
        <v>1846</v>
      </c>
      <c r="B392" s="64" t="s">
        <v>2072</v>
      </c>
      <c r="C392" s="64" t="s">
        <v>2073</v>
      </c>
      <c r="D392" s="66" t="s">
        <v>82</v>
      </c>
    </row>
    <row r="393" spans="1:14" ht="30" hidden="1" outlineLevel="1" x14ac:dyDescent="0.25">
      <c r="A393" s="42" t="s">
        <v>1847</v>
      </c>
      <c r="B393" s="64" t="s">
        <v>2074</v>
      </c>
      <c r="C393" s="64" t="s">
        <v>2075</v>
      </c>
      <c r="D393" s="66" t="s">
        <v>2458</v>
      </c>
    </row>
    <row r="394" spans="1:14" ht="60" hidden="1" outlineLevel="1" x14ac:dyDescent="0.25">
      <c r="A394" s="42" t="s">
        <v>1848</v>
      </c>
      <c r="B394" s="64" t="s">
        <v>2076</v>
      </c>
      <c r="C394" s="64" t="s">
        <v>2077</v>
      </c>
      <c r="D394" s="66" t="s">
        <v>2458</v>
      </c>
    </row>
    <row r="395" spans="1:14" ht="30" hidden="1" outlineLevel="1" x14ac:dyDescent="0.25">
      <c r="A395" s="42" t="s">
        <v>1849</v>
      </c>
      <c r="B395" s="64" t="s">
        <v>2078</v>
      </c>
      <c r="C395" s="64" t="s">
        <v>2079</v>
      </c>
      <c r="D395" s="66" t="s">
        <v>2458</v>
      </c>
    </row>
    <row r="396" spans="1:14" collapsed="1" x14ac:dyDescent="0.25"/>
  </sheetData>
  <mergeCells count="66">
    <mergeCell ref="A22:D22"/>
    <mergeCell ref="A2:D2"/>
    <mergeCell ref="A3:D3"/>
    <mergeCell ref="A4:D4"/>
    <mergeCell ref="A16:D16"/>
    <mergeCell ref="A17:D17"/>
    <mergeCell ref="A72:D72"/>
    <mergeCell ref="A27:D27"/>
    <mergeCell ref="A31:D31"/>
    <mergeCell ref="A35:D35"/>
    <mergeCell ref="A40:D40"/>
    <mergeCell ref="A45:D45"/>
    <mergeCell ref="A50:D50"/>
    <mergeCell ref="A51:D51"/>
    <mergeCell ref="A57:D57"/>
    <mergeCell ref="A59:D59"/>
    <mergeCell ref="A60:D60"/>
    <mergeCell ref="A69:D69"/>
    <mergeCell ref="A135:D135"/>
    <mergeCell ref="A136:D136"/>
    <mergeCell ref="A146:D146"/>
    <mergeCell ref="A88:D88"/>
    <mergeCell ref="A95:D95"/>
    <mergeCell ref="A102:D102"/>
    <mergeCell ref="A103:D103"/>
    <mergeCell ref="A126:D126"/>
    <mergeCell ref="A131:D131"/>
    <mergeCell ref="A230:D230"/>
    <mergeCell ref="A148:D148"/>
    <mergeCell ref="A149:D149"/>
    <mergeCell ref="A153:D153"/>
    <mergeCell ref="A160:D160"/>
    <mergeCell ref="A161:D161"/>
    <mergeCell ref="A180:D180"/>
    <mergeCell ref="A189:D189"/>
    <mergeCell ref="A190:D190"/>
    <mergeCell ref="A198:D198"/>
    <mergeCell ref="A199:D199"/>
    <mergeCell ref="A222:D222"/>
    <mergeCell ref="A280:D280"/>
    <mergeCell ref="A231:D231"/>
    <mergeCell ref="A237:D237"/>
    <mergeCell ref="A238:D238"/>
    <mergeCell ref="A242:D242"/>
    <mergeCell ref="A250:D250"/>
    <mergeCell ref="A254:D254"/>
    <mergeCell ref="A259:D259"/>
    <mergeCell ref="A260:D260"/>
    <mergeCell ref="A267:D267"/>
    <mergeCell ref="A276:D276"/>
    <mergeCell ref="A371:D371"/>
    <mergeCell ref="A372:D372"/>
    <mergeCell ref="A386:D386"/>
    <mergeCell ref="A83:D83"/>
    <mergeCell ref="A286:D286"/>
    <mergeCell ref="A311:D311"/>
    <mergeCell ref="A312:D312"/>
    <mergeCell ref="A317:D317"/>
    <mergeCell ref="A322:D322"/>
    <mergeCell ref="A360:D360"/>
    <mergeCell ref="A281:D281"/>
    <mergeCell ref="A285:D285"/>
    <mergeCell ref="A287:D287"/>
    <mergeCell ref="A295:D295"/>
    <mergeCell ref="A300:D300"/>
    <mergeCell ref="A309:D309"/>
  </mergeCells>
  <phoneticPr fontId="20"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45"/>
  <sheetViews>
    <sheetView zoomScale="70" zoomScaleNormal="70" workbookViewId="0">
      <pane xSplit="1" ySplit="1" topLeftCell="B2" activePane="bottomRight" state="frozen"/>
      <selection pane="topRight" activeCell="B1" sqref="B1"/>
      <selection pane="bottomLeft" activeCell="A2" sqref="A2"/>
      <selection pane="bottomRight" activeCell="G16" sqref="G16"/>
    </sheetView>
  </sheetViews>
  <sheetFormatPr defaultColWidth="8.7109375" defaultRowHeight="15" x14ac:dyDescent="0.25"/>
  <cols>
    <col min="1" max="1" width="12.42578125" style="2" customWidth="1"/>
    <col min="2" max="2" width="23" style="44" customWidth="1"/>
    <col min="3" max="3" width="4.5703125" style="2" bestFit="1" customWidth="1"/>
    <col min="4" max="4" width="157.7109375" style="2" customWidth="1"/>
    <col min="5" max="5" width="13.28515625" style="2" customWidth="1"/>
    <col min="6" max="6" width="65.7109375" style="2" customWidth="1"/>
    <col min="7" max="7" width="30.7109375" style="2" customWidth="1"/>
    <col min="8" max="16384" width="8.7109375" style="2"/>
  </cols>
  <sheetData>
    <row r="1" spans="1:7" s="12" customFormat="1" ht="33" x14ac:dyDescent="0.25">
      <c r="A1" s="82" t="s">
        <v>1319</v>
      </c>
      <c r="B1" s="83" t="s">
        <v>0</v>
      </c>
      <c r="C1" s="82"/>
      <c r="D1" s="83" t="s">
        <v>36</v>
      </c>
      <c r="E1" s="82" t="s">
        <v>1320</v>
      </c>
      <c r="F1" s="83" t="s">
        <v>1321</v>
      </c>
      <c r="G1" s="82" t="s">
        <v>2</v>
      </c>
    </row>
    <row r="2" spans="1:7" ht="15.6" customHeight="1" x14ac:dyDescent="0.25">
      <c r="A2" s="216">
        <v>9</v>
      </c>
      <c r="B2" s="220" t="s">
        <v>1322</v>
      </c>
      <c r="C2" s="218" t="s">
        <v>277</v>
      </c>
      <c r="D2" s="219" t="s">
        <v>1323</v>
      </c>
      <c r="E2" s="57" t="s">
        <v>498</v>
      </c>
      <c r="F2" s="58" t="s">
        <v>499</v>
      </c>
      <c r="G2" s="3"/>
    </row>
    <row r="3" spans="1:7" ht="31.5" x14ac:dyDescent="0.25">
      <c r="A3" s="216"/>
      <c r="B3" s="221"/>
      <c r="C3" s="218"/>
      <c r="D3" s="219"/>
      <c r="E3" s="57" t="s">
        <v>526</v>
      </c>
      <c r="F3" s="58" t="s">
        <v>503</v>
      </c>
      <c r="G3" s="3"/>
    </row>
    <row r="4" spans="1:7" ht="31.5" x14ac:dyDescent="0.25">
      <c r="A4" s="216"/>
      <c r="B4" s="221"/>
      <c r="C4" s="218"/>
      <c r="D4" s="219"/>
      <c r="E4" s="57" t="s">
        <v>275</v>
      </c>
      <c r="F4" s="58" t="s">
        <v>276</v>
      </c>
      <c r="G4" s="3"/>
    </row>
    <row r="5" spans="1:7" ht="31.5" x14ac:dyDescent="0.25">
      <c r="A5" s="216"/>
      <c r="B5" s="221"/>
      <c r="C5" s="218"/>
      <c r="D5" s="219"/>
      <c r="E5" s="57" t="s">
        <v>356</v>
      </c>
      <c r="F5" s="58" t="s">
        <v>357</v>
      </c>
      <c r="G5" s="3"/>
    </row>
    <row r="6" spans="1:7" ht="31.5" x14ac:dyDescent="0.25">
      <c r="A6" s="216"/>
      <c r="B6" s="221"/>
      <c r="C6" s="218" t="s">
        <v>436</v>
      </c>
      <c r="D6" s="219" t="s">
        <v>1324</v>
      </c>
      <c r="E6" s="57" t="s">
        <v>432</v>
      </c>
      <c r="F6" s="58" t="s">
        <v>433</v>
      </c>
      <c r="G6" s="3"/>
    </row>
    <row r="7" spans="1:7" ht="31.5" x14ac:dyDescent="0.25">
      <c r="A7" s="216"/>
      <c r="B7" s="221"/>
      <c r="C7" s="218"/>
      <c r="D7" s="219"/>
      <c r="E7" s="57" t="s">
        <v>459</v>
      </c>
      <c r="F7" s="58" t="s">
        <v>460</v>
      </c>
      <c r="G7" s="3"/>
    </row>
    <row r="8" spans="1:7" ht="31.5" x14ac:dyDescent="0.25">
      <c r="A8" s="216"/>
      <c r="B8" s="221"/>
      <c r="C8" s="218"/>
      <c r="D8" s="219"/>
      <c r="E8" s="57" t="s">
        <v>463</v>
      </c>
      <c r="F8" s="58" t="s">
        <v>464</v>
      </c>
      <c r="G8" s="3"/>
    </row>
    <row r="9" spans="1:7" ht="40.35" customHeight="1" x14ac:dyDescent="0.25">
      <c r="A9" s="216"/>
      <c r="B9" s="222"/>
      <c r="C9" s="218"/>
      <c r="D9" s="219"/>
      <c r="E9" s="57" t="s">
        <v>467</v>
      </c>
      <c r="F9" s="58" t="s">
        <v>468</v>
      </c>
      <c r="G9" s="3"/>
    </row>
    <row r="10" spans="1:7" ht="31.5" x14ac:dyDescent="0.25">
      <c r="A10" s="216">
        <v>10</v>
      </c>
      <c r="B10" s="219" t="s">
        <v>1325</v>
      </c>
      <c r="C10" s="218" t="s">
        <v>393</v>
      </c>
      <c r="D10" s="219" t="s">
        <v>1326</v>
      </c>
      <c r="E10" s="57" t="s">
        <v>390</v>
      </c>
      <c r="F10" s="58" t="s">
        <v>391</v>
      </c>
      <c r="G10" s="3"/>
    </row>
    <row r="11" spans="1:7" ht="31.5" x14ac:dyDescent="0.25">
      <c r="A11" s="216"/>
      <c r="B11" s="219"/>
      <c r="C11" s="218"/>
      <c r="D11" s="219"/>
      <c r="E11" s="57" t="s">
        <v>395</v>
      </c>
      <c r="F11" s="58" t="s">
        <v>396</v>
      </c>
      <c r="G11" s="3"/>
    </row>
    <row r="12" spans="1:7" ht="31.5" x14ac:dyDescent="0.25">
      <c r="A12" s="216"/>
      <c r="B12" s="219"/>
      <c r="C12" s="218"/>
      <c r="D12" s="219"/>
      <c r="E12" s="57" t="s">
        <v>402</v>
      </c>
      <c r="F12" s="58" t="s">
        <v>403</v>
      </c>
      <c r="G12" s="3"/>
    </row>
    <row r="13" spans="1:7" ht="50.65" customHeight="1" x14ac:dyDescent="0.25">
      <c r="A13" s="216"/>
      <c r="B13" s="219"/>
      <c r="C13" s="218"/>
      <c r="D13" s="219"/>
      <c r="E13" s="57" t="s">
        <v>529</v>
      </c>
      <c r="F13" s="58" t="s">
        <v>530</v>
      </c>
      <c r="G13" s="3"/>
    </row>
    <row r="14" spans="1:7" ht="47.25" x14ac:dyDescent="0.25">
      <c r="A14" s="216"/>
      <c r="B14" s="219"/>
      <c r="C14" s="218" t="s">
        <v>420</v>
      </c>
      <c r="D14" s="219" t="s">
        <v>1327</v>
      </c>
      <c r="E14" s="57" t="s">
        <v>411</v>
      </c>
      <c r="F14" s="58" t="s">
        <v>412</v>
      </c>
      <c r="G14" s="3"/>
    </row>
    <row r="15" spans="1:7" ht="47.25" x14ac:dyDescent="0.25">
      <c r="A15" s="216"/>
      <c r="B15" s="219"/>
      <c r="C15" s="218"/>
      <c r="D15" s="219"/>
      <c r="E15" s="57" t="s">
        <v>418</v>
      </c>
      <c r="F15" s="58" t="s">
        <v>419</v>
      </c>
      <c r="G15" s="3"/>
    </row>
    <row r="16" spans="1:7" ht="15.75" x14ac:dyDescent="0.25">
      <c r="A16" s="216">
        <v>11</v>
      </c>
      <c r="B16" s="219" t="s">
        <v>1328</v>
      </c>
      <c r="C16" s="218" t="s">
        <v>294</v>
      </c>
      <c r="D16" s="219" t="s">
        <v>1329</v>
      </c>
      <c r="E16" s="57" t="s">
        <v>427</v>
      </c>
      <c r="F16" s="58" t="s">
        <v>428</v>
      </c>
      <c r="G16" s="3"/>
    </row>
    <row r="17" spans="1:7" ht="31.5" x14ac:dyDescent="0.25">
      <c r="A17" s="216"/>
      <c r="B17" s="219"/>
      <c r="C17" s="218"/>
      <c r="D17" s="219"/>
      <c r="E17" s="57" t="s">
        <v>471</v>
      </c>
      <c r="F17" s="58" t="s">
        <v>472</v>
      </c>
      <c r="G17" s="3"/>
    </row>
    <row r="18" spans="1:7" ht="63" x14ac:dyDescent="0.25">
      <c r="A18" s="216"/>
      <c r="B18" s="219"/>
      <c r="C18" s="218"/>
      <c r="D18" s="219"/>
      <c r="E18" s="57" t="s">
        <v>483</v>
      </c>
      <c r="F18" s="58" t="s">
        <v>484</v>
      </c>
      <c r="G18" s="3"/>
    </row>
    <row r="19" spans="1:7" ht="47.25" x14ac:dyDescent="0.25">
      <c r="A19" s="216"/>
      <c r="B19" s="219"/>
      <c r="C19" s="218"/>
      <c r="D19" s="219"/>
      <c r="E19" s="57" t="s">
        <v>486</v>
      </c>
      <c r="F19" s="58" t="s">
        <v>487</v>
      </c>
      <c r="G19" s="3"/>
    </row>
    <row r="20" spans="1:7" ht="31.5" x14ac:dyDescent="0.25">
      <c r="A20" s="216"/>
      <c r="B20" s="219"/>
      <c r="C20" s="218"/>
      <c r="D20" s="219"/>
      <c r="E20" s="57" t="s">
        <v>489</v>
      </c>
      <c r="F20" s="58" t="s">
        <v>490</v>
      </c>
      <c r="G20" s="3"/>
    </row>
    <row r="21" spans="1:7" ht="31.5" x14ac:dyDescent="0.25">
      <c r="A21" s="216"/>
      <c r="B21" s="219"/>
      <c r="C21" s="218"/>
      <c r="D21" s="219"/>
      <c r="E21" s="57" t="s">
        <v>493</v>
      </c>
      <c r="F21" s="58" t="s">
        <v>494</v>
      </c>
      <c r="G21" s="3"/>
    </row>
    <row r="22" spans="1:7" ht="15.75" x14ac:dyDescent="0.25">
      <c r="A22" s="216"/>
      <c r="B22" s="219"/>
      <c r="C22" s="218"/>
      <c r="D22" s="219"/>
      <c r="E22" s="57" t="s">
        <v>292</v>
      </c>
      <c r="F22" s="58" t="s">
        <v>293</v>
      </c>
      <c r="G22" s="3"/>
    </row>
    <row r="23" spans="1:7" ht="31.5" x14ac:dyDescent="0.25">
      <c r="A23" s="216"/>
      <c r="B23" s="219"/>
      <c r="C23" s="218"/>
      <c r="D23" s="219"/>
      <c r="E23" s="57" t="s">
        <v>307</v>
      </c>
      <c r="F23" s="58" t="s">
        <v>308</v>
      </c>
      <c r="G23" s="3"/>
    </row>
    <row r="24" spans="1:7" ht="47.25" x14ac:dyDescent="0.25">
      <c r="A24" s="216"/>
      <c r="B24" s="219"/>
      <c r="C24" s="218"/>
      <c r="D24" s="219"/>
      <c r="E24" s="57" t="s">
        <v>513</v>
      </c>
      <c r="F24" s="58" t="s">
        <v>514</v>
      </c>
      <c r="G24" s="3"/>
    </row>
    <row r="25" spans="1:7" ht="75" x14ac:dyDescent="0.25">
      <c r="A25" s="216">
        <v>12</v>
      </c>
      <c r="B25" s="219" t="s">
        <v>1330</v>
      </c>
      <c r="C25" s="6" t="s">
        <v>1331</v>
      </c>
      <c r="D25" s="3" t="s">
        <v>1332</v>
      </c>
      <c r="E25" s="57" t="s">
        <v>406</v>
      </c>
      <c r="F25" s="58" t="s">
        <v>407</v>
      </c>
      <c r="G25" s="3"/>
    </row>
    <row r="26" spans="1:7" ht="31.5" x14ac:dyDescent="0.25">
      <c r="A26" s="216"/>
      <c r="B26" s="219"/>
      <c r="C26" s="218" t="s">
        <v>290</v>
      </c>
      <c r="D26" s="219" t="s">
        <v>1333</v>
      </c>
      <c r="E26" s="57" t="s">
        <v>287</v>
      </c>
      <c r="F26" s="58" t="s">
        <v>288</v>
      </c>
      <c r="G26" s="3" t="s">
        <v>1334</v>
      </c>
    </row>
    <row r="27" spans="1:7" ht="31.5" x14ac:dyDescent="0.25">
      <c r="A27" s="216"/>
      <c r="B27" s="219"/>
      <c r="C27" s="218"/>
      <c r="D27" s="219"/>
      <c r="E27" s="57" t="s">
        <v>328</v>
      </c>
      <c r="F27" s="58" t="s">
        <v>329</v>
      </c>
      <c r="G27" s="3"/>
    </row>
    <row r="28" spans="1:7" ht="105" x14ac:dyDescent="0.25">
      <c r="A28" s="216"/>
      <c r="B28" s="219"/>
      <c r="C28" s="6" t="s">
        <v>1335</v>
      </c>
      <c r="D28" s="3" t="s">
        <v>1336</v>
      </c>
      <c r="E28" s="57" t="s">
        <v>213</v>
      </c>
      <c r="F28" s="58" t="s">
        <v>214</v>
      </c>
      <c r="G28" s="3"/>
    </row>
    <row r="29" spans="1:7" ht="47.25" x14ac:dyDescent="0.25">
      <c r="A29" s="216">
        <v>13</v>
      </c>
      <c r="B29" s="219" t="s">
        <v>1337</v>
      </c>
      <c r="C29" s="218" t="s">
        <v>123</v>
      </c>
      <c r="D29" s="219" t="s">
        <v>1338</v>
      </c>
      <c r="E29" s="57" t="s">
        <v>120</v>
      </c>
      <c r="F29" s="58" t="s">
        <v>121</v>
      </c>
      <c r="G29" s="3"/>
    </row>
    <row r="30" spans="1:7" ht="315.60000000000002" customHeight="1" x14ac:dyDescent="0.25">
      <c r="A30" s="216"/>
      <c r="B30" s="219"/>
      <c r="C30" s="218"/>
      <c r="D30" s="219"/>
      <c r="E30" s="57" t="s">
        <v>213</v>
      </c>
      <c r="F30" s="58" t="s">
        <v>214</v>
      </c>
      <c r="G30" s="3"/>
    </row>
    <row r="31" spans="1:7" ht="31.5" x14ac:dyDescent="0.25">
      <c r="A31" s="216"/>
      <c r="B31" s="219"/>
      <c r="C31" s="218" t="s">
        <v>1339</v>
      </c>
      <c r="D31" s="219" t="s">
        <v>1340</v>
      </c>
      <c r="E31" s="57" t="s">
        <v>406</v>
      </c>
      <c r="F31" s="58" t="s">
        <v>407</v>
      </c>
      <c r="G31" s="3"/>
    </row>
    <row r="32" spans="1:7" ht="85.35" customHeight="1" x14ac:dyDescent="0.25">
      <c r="A32" s="216"/>
      <c r="B32" s="219"/>
      <c r="C32" s="218"/>
      <c r="D32" s="219"/>
      <c r="E32" s="57" t="s">
        <v>411</v>
      </c>
      <c r="F32" s="58" t="s">
        <v>412</v>
      </c>
      <c r="G32" s="3"/>
    </row>
    <row r="33" spans="1:7" ht="45" x14ac:dyDescent="0.25">
      <c r="A33" s="216"/>
      <c r="B33" s="219"/>
      <c r="C33" s="6" t="s">
        <v>1341</v>
      </c>
      <c r="D33" s="3" t="s">
        <v>1342</v>
      </c>
      <c r="E33" s="57"/>
      <c r="F33" s="9"/>
      <c r="G33" s="3"/>
    </row>
    <row r="34" spans="1:7" ht="45" x14ac:dyDescent="0.25">
      <c r="A34" s="216">
        <v>14</v>
      </c>
      <c r="B34" s="219" t="s">
        <v>1343</v>
      </c>
      <c r="C34" s="6" t="s">
        <v>1344</v>
      </c>
      <c r="D34" s="3" t="s">
        <v>1345</v>
      </c>
      <c r="E34" s="57"/>
      <c r="F34" s="9"/>
      <c r="G34" s="3"/>
    </row>
    <row r="35" spans="1:7" ht="47.25" x14ac:dyDescent="0.25">
      <c r="A35" s="216"/>
      <c r="B35" s="219"/>
      <c r="C35" s="6" t="s">
        <v>1346</v>
      </c>
      <c r="D35" s="3" t="s">
        <v>1347</v>
      </c>
      <c r="E35" s="57" t="s">
        <v>222</v>
      </c>
      <c r="F35" s="58" t="s">
        <v>223</v>
      </c>
      <c r="G35" s="3"/>
    </row>
    <row r="36" spans="1:7" ht="90" x14ac:dyDescent="0.25">
      <c r="A36" s="216"/>
      <c r="B36" s="219"/>
      <c r="C36" s="6" t="s">
        <v>1348</v>
      </c>
      <c r="D36" s="3" t="s">
        <v>1349</v>
      </c>
      <c r="E36" s="57" t="s">
        <v>222</v>
      </c>
      <c r="F36" s="58" t="s">
        <v>223</v>
      </c>
      <c r="G36" s="3"/>
    </row>
    <row r="37" spans="1:7" ht="31.5" x14ac:dyDescent="0.25">
      <c r="A37" s="216">
        <v>15</v>
      </c>
      <c r="B37" s="219" t="s">
        <v>1350</v>
      </c>
      <c r="C37" s="218" t="s">
        <v>159</v>
      </c>
      <c r="D37" s="219" t="s">
        <v>1351</v>
      </c>
      <c r="E37" s="57" t="s">
        <v>155</v>
      </c>
      <c r="F37" s="58" t="s">
        <v>156</v>
      </c>
      <c r="G37" s="3"/>
    </row>
    <row r="38" spans="1:7" ht="204.6" customHeight="1" x14ac:dyDescent="0.25">
      <c r="A38" s="216"/>
      <c r="B38" s="219"/>
      <c r="C38" s="218"/>
      <c r="D38" s="219"/>
      <c r="E38" s="57" t="s">
        <v>226</v>
      </c>
      <c r="F38" s="58" t="s">
        <v>227</v>
      </c>
      <c r="G38" s="3"/>
    </row>
    <row r="39" spans="1:7" ht="30" x14ac:dyDescent="0.25">
      <c r="A39" s="216"/>
      <c r="B39" s="219"/>
      <c r="C39" s="6" t="s">
        <v>1352</v>
      </c>
      <c r="D39" s="3" t="s">
        <v>1353</v>
      </c>
      <c r="E39" s="57"/>
      <c r="F39" s="9"/>
      <c r="G39" s="3"/>
    </row>
    <row r="40" spans="1:7" ht="75" x14ac:dyDescent="0.25">
      <c r="A40" s="216"/>
      <c r="B40" s="219"/>
      <c r="C40" s="6" t="s">
        <v>1354</v>
      </c>
      <c r="D40" s="3" t="s">
        <v>1355</v>
      </c>
      <c r="E40" s="57"/>
      <c r="F40" s="9"/>
      <c r="G40" s="3"/>
    </row>
    <row r="41" spans="1:7" ht="75" x14ac:dyDescent="0.25">
      <c r="A41" s="216">
        <v>16</v>
      </c>
      <c r="B41" s="217" t="s">
        <v>1356</v>
      </c>
      <c r="C41" s="6" t="s">
        <v>1357</v>
      </c>
      <c r="D41" s="3" t="s">
        <v>1358</v>
      </c>
      <c r="E41" s="57"/>
      <c r="F41" s="9"/>
      <c r="G41" s="3"/>
    </row>
    <row r="42" spans="1:7" ht="47.25" x14ac:dyDescent="0.25">
      <c r="A42" s="216"/>
      <c r="B42" s="217"/>
      <c r="C42" s="218" t="s">
        <v>482</v>
      </c>
      <c r="D42" s="219" t="s">
        <v>1359</v>
      </c>
      <c r="E42" s="57" t="s">
        <v>513</v>
      </c>
      <c r="F42" s="58" t="s">
        <v>514</v>
      </c>
      <c r="G42" s="9"/>
    </row>
    <row r="43" spans="1:7" ht="47.25" x14ac:dyDescent="0.25">
      <c r="A43" s="216"/>
      <c r="B43" s="217"/>
      <c r="C43" s="218"/>
      <c r="D43" s="219"/>
      <c r="E43" s="57" t="s">
        <v>520</v>
      </c>
      <c r="F43" s="58" t="s">
        <v>521</v>
      </c>
      <c r="G43" s="9"/>
    </row>
    <row r="44" spans="1:7" ht="31.5" x14ac:dyDescent="0.25">
      <c r="A44" s="216"/>
      <c r="B44" s="217"/>
      <c r="C44" s="218"/>
      <c r="D44" s="219"/>
      <c r="E44" s="57" t="s">
        <v>529</v>
      </c>
      <c r="F44" s="58" t="s">
        <v>530</v>
      </c>
      <c r="G44" s="9"/>
    </row>
    <row r="45" spans="1:7" ht="78.75" x14ac:dyDescent="0.25">
      <c r="A45" s="216"/>
      <c r="B45" s="217"/>
      <c r="C45" s="218"/>
      <c r="D45" s="219"/>
      <c r="E45" s="57" t="s">
        <v>478</v>
      </c>
      <c r="F45" s="58" t="s">
        <v>479</v>
      </c>
      <c r="G45" s="9"/>
    </row>
  </sheetData>
  <mergeCells count="36">
    <mergeCell ref="A2:A9"/>
    <mergeCell ref="B2:B9"/>
    <mergeCell ref="C2:C5"/>
    <mergeCell ref="D2:D5"/>
    <mergeCell ref="C6:C9"/>
    <mergeCell ref="D6:D9"/>
    <mergeCell ref="A10:A15"/>
    <mergeCell ref="B10:B15"/>
    <mergeCell ref="C10:C13"/>
    <mergeCell ref="D10:D13"/>
    <mergeCell ref="C14:C15"/>
    <mergeCell ref="D14:D15"/>
    <mergeCell ref="A16:A24"/>
    <mergeCell ref="B16:B24"/>
    <mergeCell ref="C16:C24"/>
    <mergeCell ref="D16:D24"/>
    <mergeCell ref="A25:A28"/>
    <mergeCell ref="B25:B28"/>
    <mergeCell ref="C26:C27"/>
    <mergeCell ref="D26:D27"/>
    <mergeCell ref="A29:A33"/>
    <mergeCell ref="B29:B33"/>
    <mergeCell ref="C29:C30"/>
    <mergeCell ref="D29:D30"/>
    <mergeCell ref="C31:C32"/>
    <mergeCell ref="D31:D32"/>
    <mergeCell ref="A41:A45"/>
    <mergeCell ref="B41:B45"/>
    <mergeCell ref="C42:C45"/>
    <mergeCell ref="D42:D45"/>
    <mergeCell ref="A34:A36"/>
    <mergeCell ref="B34:B36"/>
    <mergeCell ref="A37:A40"/>
    <mergeCell ref="B37:B40"/>
    <mergeCell ref="C37:C38"/>
    <mergeCell ref="D37:D3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ta_data xmlns="7aa221e3-2679-4b7f-8501-9ead081fcbb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Документ" ma:contentTypeID="0x0101006CA2C0ADBEC7BE46B0822C2DAA5A03E5" ma:contentTypeVersion="3" ma:contentTypeDescription="Создание документа." ma:contentTypeScope="" ma:versionID="2c0b967ad34bbc7280160eedba1ebf65">
  <xsd:schema xmlns:xsd="http://www.w3.org/2001/XMLSchema" xmlns:xs="http://www.w3.org/2001/XMLSchema" xmlns:p="http://schemas.microsoft.com/office/2006/metadata/properties" xmlns:ns2="761b51ea-73c7-430a-8a38-0ce42770504b" xmlns:ns3="7aa221e3-2679-4b7f-8501-9ead081fcbbd" targetNamespace="http://schemas.microsoft.com/office/2006/metadata/properties" ma:root="true" ma:fieldsID="31711765d5ae13ef6aa18ca09936d202" ns2:_="" ns3:_="">
    <xsd:import namespace="761b51ea-73c7-430a-8a38-0ce42770504b"/>
    <xsd:import namespace="7aa221e3-2679-4b7f-8501-9ead081fcbbd"/>
    <xsd:element name="properties">
      <xsd:complexType>
        <xsd:sequence>
          <xsd:element name="documentManagement">
            <xsd:complexType>
              <xsd:all>
                <xsd:element ref="ns2:SharedWithUsers" minOccurs="0"/>
                <xsd:element ref="ns2:SharedWithDetails" minOccurs="0"/>
                <xsd:element ref="ns3:meta_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1b51ea-73c7-430a-8a38-0ce42770504b" elementFormDefault="qualified">
    <xsd:import namespace="http://schemas.microsoft.com/office/2006/documentManagement/types"/>
    <xsd:import namespace="http://schemas.microsoft.com/office/infopath/2007/PartnerControls"/>
    <xsd:element name="SharedWithUsers" ma:index="8"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a221e3-2679-4b7f-8501-9ead081fcbbd" elementFormDefault="qualified">
    <xsd:import namespace="http://schemas.microsoft.com/office/2006/documentManagement/types"/>
    <xsd:import namespace="http://schemas.microsoft.com/office/infopath/2007/PartnerControls"/>
    <xsd:element name="meta_data" ma:index="10" nillable="true" ma:displayName="meta_data" ma:internalName="meta_data">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706020-B6AD-413F-897C-EA823AB32369}">
  <ds:schemaRefs>
    <ds:schemaRef ds:uri="7aa221e3-2679-4b7f-8501-9ead081fcbbd"/>
    <ds:schemaRef ds:uri="http://schemas.microsoft.com/office/2006/documentManagement/types"/>
    <ds:schemaRef ds:uri="http://purl.org/dc/elements/1.1/"/>
    <ds:schemaRef ds:uri="http://purl.org/dc/terms/"/>
    <ds:schemaRef ds:uri="http://schemas.microsoft.com/office/2006/metadata/properties"/>
    <ds:schemaRef ds:uri="http://schemas.microsoft.com/office/infopath/2007/PartnerControls"/>
    <ds:schemaRef ds:uri="http://schemas.openxmlformats.org/package/2006/metadata/core-properties"/>
    <ds:schemaRef ds:uri="761b51ea-73c7-430a-8a38-0ce42770504b"/>
    <ds:schemaRef ds:uri="http://www.w3.org/XML/1998/namespace"/>
    <ds:schemaRef ds:uri="http://purl.org/dc/dcmitype/"/>
  </ds:schemaRefs>
</ds:datastoreItem>
</file>

<file path=customXml/itemProps2.xml><?xml version="1.0" encoding="utf-8"?>
<ds:datastoreItem xmlns:ds="http://schemas.openxmlformats.org/officeDocument/2006/customXml" ds:itemID="{DBBBAB94-4058-4955-B082-C0597E80B4BF}">
  <ds:schemaRefs>
    <ds:schemaRef ds:uri="http://schemas.microsoft.com/sharepoint/v3/contenttype/forms"/>
  </ds:schemaRefs>
</ds:datastoreItem>
</file>

<file path=customXml/itemProps3.xml><?xml version="1.0" encoding="utf-8"?>
<ds:datastoreItem xmlns:ds="http://schemas.openxmlformats.org/officeDocument/2006/customXml" ds:itemID="{1A111CC4-D8C7-40CD-8AB8-0523C8FB8D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1b51ea-73c7-430a-8a38-0ce42770504b"/>
    <ds:schemaRef ds:uri="7aa221e3-2679-4b7f-8501-9ead081fcb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Общее описание</vt:lpstr>
      <vt:lpstr>Контроли</vt:lpstr>
      <vt:lpstr>Результаты</vt:lpstr>
      <vt:lpstr>Практики</vt:lpstr>
      <vt:lpstr>Уровни зрелости (другой вид)</vt:lpstr>
      <vt:lpstr>CIS Docker</vt:lpstr>
      <vt:lpstr>CIS Kubernetes</vt:lpstr>
      <vt:lpstr>CIS Linux (Debian)</vt:lpstr>
      <vt:lpstr>CIS Linux (RHEL)</vt:lpstr>
      <vt:lpstr>Приказ 118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2026-02-12T16:12:56Z</dcterms:created>
  <dcterms:modified xsi:type="dcterms:W3CDTF">2026-02-13T12:23:45Z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0x0101006CA2C0ADBEC7BE46B0822C2DAA5A03E5</vt:lpwstr>
  </property>
</Properties>
</file>